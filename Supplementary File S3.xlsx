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conciliation" sheetId="2" state="visible" r:id="rId4"/>
    <sheet name="Kappa" sheetId="3" state="visible" r:id="rId5"/>
    <sheet name="Verified_Baseline_Coun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<sst xmlns="http://schemas.openxmlformats.org/spreadsheetml/2006/main" count="575" uniqueCount="245">
  <si>
    <t xml:space="preserve">Supplementary File S3</t>
  </si>
  <si>
    <t xml:space="preserve">Two-Reviewer Baseline Reconciliation and Verified Baseline-Role Counts</t>
  </si>
  <si>
    <t xml:space="preserve">Associated manuscript: Performance Evaluation of Multi-Armed Bandit Recommender Systems: A Systematic Literature Review (1985-2024) with an Extended Frontier Analysis (2024-2026).</t>
  </si>
  <si>
    <t xml:space="preserve">Author: Ojediran Alaba Bolaji, Department of Computer Science, Lagos State University (LASU), Ojo, Lagos, Nigeria.</t>
  </si>
  <si>
    <t xml:space="preserve">Referenced in manuscript Section 2.4 (Data Extraction and Coding), Section 3.3, Section 4.4 (Gap 4), Section 6 (Limitations), and Supplementary File S2 (PRISMA items 8 and 9).</t>
  </si>
  <si>
    <t xml:space="preserve">Purpose</t>
  </si>
  <si>
    <t xml:space="preserve">This file documents the two-reviewer reconciliation of the comparison-baseline coding for the 62 included studies, and reports the verified baseline-role counts that the manuscript cites. Because the extraction matrix contained no dedicated baseline field, baseline information was recovered from study text; Reviewer 1 coded the corpus first, Reviewer 2 then independently verified each study against the original papers, and the two codings were reconciled.</t>
  </si>
  <si>
    <t xml:space="preserve">Inter-rater reliability</t>
  </si>
  <si>
    <t xml:space="preserve">Agreement on the binary baseline-status judgement (whether a study names at least one comparison baseline) was assessed using Cohen's kappa, yielding kappa = -0.032. The divergence was almost entirely one-directional: Reviewer 2, working from the source articles, identified named baselines in 23 of the 24 studies that Reviewer 1 had been unable to resolve from the extraction record alone. The low value reflects that the initial extraction record understated baselines that the original papers in fact contained.</t>
  </si>
  <si>
    <t xml:space="preserve">Reconciliation rule</t>
  </si>
  <si>
    <t xml:space="preserve">Where the two reviewers diverged, Reviewer 2's reading was treated as authoritative because it rests directly on the primary sources. The resolved coding records that 61 of the 62 studies name at least one comparison baseline; one study (paper 55) remains indeterminate.</t>
  </si>
  <si>
    <t xml:space="preserve">Contents of this workbook</t>
  </si>
  <si>
    <t xml:space="preserve">  Sheet 'Reconciliation' - per-study: Reviewer-1 coding, Reviewer-2 coding, agreement, the resolved (authoritative) baselines and status, and notes.</t>
  </si>
  <si>
    <t xml:space="preserve">  Sheet 'Kappa' - the contingency table and the Cohen's kappa computation (live formulas).</t>
  </si>
  <si>
    <t xml:space="preserve">  Sheet 'Verified_Baseline_Counts' - the verified baseline-role count table cited in the manuscript (UCB family 28; Thompson Sampling 17; Random 17; epsilon-greedy 11; etc.).</t>
  </si>
  <si>
    <t xml:space="preserve">Counting rule for baseline-role frequencies</t>
  </si>
  <si>
    <t xml:space="preserve">An algorithm is counted once per study if it served as a comparison baseline (the study's own proposed method is excluded). UCB-family counts consolidate UCB1, LinUCB, KL-UCB, and unspecified UCB variants without double-counting a study. Counts therefore sum to more than 62 because most studies use several baselines.</t>
  </si>
  <si>
    <t xml:space="preserve">Note on reviewer identities</t>
  </si>
  <si>
    <t xml:space="preserve">Reviewer 1 = initial coding pass; Reviewer 2 = independent verification against the original papers. Reviewer 2's source-based reading supersedes Reviewer 1 wherever the two diverge.</t>
  </si>
  <si>
    <t xml:space="preserve">Reviewer 1 (initial)</t>
  </si>
  <si>
    <t xml:space="preserve">Reviewer 2 (verification vs original papers)</t>
  </si>
  <si>
    <t xml:space="preserve">Resolved (Reviewer 2 authoritative on divergence)</t>
  </si>
  <si>
    <t xml:space="preserve">#</t>
  </si>
  <si>
    <t xml:space="preserve">Paper title</t>
  </si>
  <si>
    <t xml:space="preserve">Reviewer 1: baselines</t>
  </si>
  <si>
    <t xml:space="preserve">R1 status</t>
  </si>
  <si>
    <t xml:space="preserve">Reviewer 2: baselines (from original paper)</t>
  </si>
  <si>
    <t xml:space="preserve">R2 status</t>
  </si>
  <si>
    <t xml:space="preserve">R2 vs R1</t>
  </si>
  <si>
    <t xml:space="preserve">RESOLVED baselines (authoritative)</t>
  </si>
  <si>
    <t xml:space="preserve">RESOLVED status</t>
  </si>
  <si>
    <t xml:space="preserve">Note</t>
  </si>
  <si>
    <t xml:space="preserve">A Contextual Multi-armed Bandit Approach Based on Implicit Feedback for Online Recommendation</t>
  </si>
  <si>
    <t xml:space="preserve">(none named)</t>
  </si>
  <si>
    <t xml:space="preserve">Indeterminate</t>
  </si>
  <si>
    <t xml:space="preserve">Bandit Ensemble Algorithm Based on Thompson Sampling (BEER [TS])</t>
  </si>
  <si>
    <t xml:space="preserve">Coded</t>
  </si>
  <si>
    <t xml:space="preserve">Disagree</t>
  </si>
  <si>
    <t xml:space="preserve">The research conducts Experiment 1 to compare the IF-TS algorithm against BEER [TS] using three evaluation metrics: cumulative rewards, precision, and recall The results indicate that IF-TS performs significantly better than BEER [TS] in these metrics</t>
  </si>
  <si>
    <t xml:space="preserve">A Hybrid Proactive Caching System in Vehicular Networks Based on Contextual Multi-Armed Bandit Learning</t>
  </si>
  <si>
    <t xml:space="preserve">Previous-RSU cMAB;CPT+ based Proactive Caching System;PPM based Proactive Caching System</t>
  </si>
  <si>
    <t xml:space="preserve">In this research, several baseline algorithms were used for comparison against the proposed Hybrid Proactive Caching System to evaluate its prediction performance.</t>
  </si>
  <si>
    <t xml:space="preserve">A Multi-Armed Bandit Approach to Cost-Sensitive Decision Tree Learning</t>
  </si>
  <si>
    <t xml:space="preserve">Pareto-UCB1; Pareto-KG; Pareto Thompson Sampling; annealing-Pareto; (six classifiers: J48, EG2, MetaCost, AdaCostM1, ICET, ACT)</t>
  </si>
  <si>
    <t xml:space="preserve">J4.8; EG2; MetaCost; AdaCostM1; ICET; ACT</t>
  </si>
  <si>
    <t xml:space="preserve">Agree</t>
  </si>
  <si>
    <t xml:space="preserve">However, it should be noted that the provided document does not mention Pareto-UCB1, Pareto-KG, or Pareto Thompson Sampling as baseline algorithms used for comparison with the proposed Multi-Armed Bandit (MA_CSDT) approach. The algorithms explicitly listed for comparison are J4.8, EG2, MetaCost, AdaCostM1, ICET, and ACT. These were chosen to represent both accuracy-focused benchmarks and established cost-sensitive decision tree algorithms.</t>
  </si>
  <si>
    <t xml:space="preserve">A Multi-armed Bandit Approach to Online Spatial Task Assignment</t>
  </si>
  <si>
    <t xml:space="preserve">E-greedy; Softmax</t>
  </si>
  <si>
    <t xml:space="preserve">E-greedy; Softmax; Exp3; UCB2</t>
  </si>
  <si>
    <t xml:space="preserve">A multi-armed bandit model-based vertical handoff algorithm for heterogeneous wireless networks</t>
  </si>
  <si>
    <t xml:space="preserve">Pareto-KG; Pareto-UCB1; Pareto Thompson Sampling; annealing-Pareto</t>
  </si>
  <si>
    <t xml:space="preserve">Decision Tree-based VHO; Multi-Armed Bandit Model-based VHO; User-Centered Multi-Objective Handoff Algorithm</t>
  </si>
  <si>
    <t xml:space="preserve">Benchmark used differs from Pareto-KG; Pareto-UCB1; Pareto Thompson Sampling; annealing-Pareto</t>
  </si>
  <si>
    <t xml:space="preserve">A Multi-Armed Bandit Recommender Algorithm Based on Conversation and KNN</t>
  </si>
  <si>
    <t xml:space="preserve">LinUCB; Arm-Con; ConUCB</t>
  </si>
  <si>
    <t xml:space="preserve">A New Hyper-Heuristic Based on a Contextual Multi-Armed Bandit for Many-Objective Optimization</t>
  </si>
  <si>
    <t xml:space="preserve">MOEA/D-FRRMAB; MOEA/D-DRA</t>
  </si>
  <si>
    <t xml:space="preserve">A New Hyper-Heuristic Based on a Restless Multi-armed Bandit for Multi-objective Optimization</t>
  </si>
  <si>
    <t xml:space="preserve">MOEA/D-FRRMAB; NSGA-II; IBEA; SPEA-2</t>
  </si>
  <si>
    <t xml:space="preserve">A Robust Algorithm to Unifying Offline Causal Inference and Online Multi-armed Bandit Learning</t>
  </si>
  <si>
    <t xml:space="preserve">OptVirUCB; OptEffVirUCB; MOEA/D-DRA</t>
  </si>
  <si>
    <t xml:space="preserve">VirUCB; UCB; OptVirUCB; OptEffVirUCB</t>
  </si>
  <si>
    <t xml:space="preserve">A Truthful Pricing-based Defending Strategy against Adversarial Attacks in Budgeted Combinatorial Multi-armed Bandits</t>
  </si>
  <si>
    <t xml:space="preserve">Alice's Attack; ACE; Push-Attack; No-Attack; AUCB</t>
  </si>
  <si>
    <t xml:space="preserve">Achieving Resilience in SDN-Based Smart Grid A Multi-Armed Bandit Approach</t>
  </si>
  <si>
    <t xml:space="preserve">Centralized Approach; Random Approach; LFL-MAB with varying epsilon values</t>
  </si>
  <si>
    <t xml:space="preserve">AdaEE Adaptive Early-Exit DNN Inference Through Multi-Armed Bandits</t>
  </si>
  <si>
    <t xml:space="preserve">greedy; random stratified selection</t>
  </si>
  <si>
    <t xml:space="preserve">Fixed Threshold Strategy; Random Threshold Strategy</t>
  </si>
  <si>
    <t xml:space="preserve">Adaptive User-Managed Service Placement for Mobile Edge Computing via Contextual Multi-Armed Bandit Learning</t>
  </si>
  <si>
    <t xml:space="preserve">Serving on the Cloud; Following User Mobility; LinUCB; Contextual Adaptive Greedy (CAG); Dueling DQN</t>
  </si>
  <si>
    <t xml:space="preserve">Annealing linear scalarized based multi-objective multi-armed bandit algorithm</t>
  </si>
  <si>
    <t xml:space="preserve">Pareto-KG; Pareto-UCB1; Pareto Thompson Sampling</t>
  </si>
  <si>
    <t xml:space="preserve">Pareto-UCB1; Pareto-KG; Pareto Thompson Sampling</t>
  </si>
  <si>
    <t xml:space="preserve">Annealing-pareto multi-objective multi-armed bandit algorithm</t>
  </si>
  <si>
    <t xml:space="preserve">Pareto-UCB1; Pareto Thompson Sampling</t>
  </si>
  <si>
    <t xml:space="preserve">Pareto-UCB1; Pareto-KG; Pareto Thompson Sampling; Annealing-Pareto</t>
  </si>
  <si>
    <t xml:space="preserve">Arm order recognition in multi-armed bandit problem with laser chaos time series</t>
  </si>
  <si>
    <t xml:space="preserve">RoundRobin; UCB1; Chaos</t>
  </si>
  <si>
    <t xml:space="preserve">Auction-Based Combinatorial Multi-Armed Bandit Mechanisms with Strategic Arms</t>
  </si>
  <si>
    <t xml:space="preserve">Optimal Algorithm; Separated Algorithm; Epsilon-First (e-first) Algorithm</t>
  </si>
  <si>
    <t xml:space="preserve">Budget-Limited Multi-armed Bandit Problem with Dynamic Rewards and Proposed Algorithms</t>
  </si>
  <si>
    <t xml:space="preserve">KUBE</t>
  </si>
  <si>
    <t xml:space="preserve">Collaborative multi-agent multi-armed bandit learning for small-cell caching</t>
  </si>
  <si>
    <t xml:space="preserve">Oracle Coordinate Ascent Algorithm; Oracle Greedy Algorithm; Oracle Greedy Algorithm; LFU; LRU; D/C-ϵ-Greedy; Ridge Regression Algorithm; m-CACao Algorithm</t>
  </si>
  <si>
    <t xml:space="preserve">Combination of Auction Theory and Multi-Armed Bandits Model Algorithm and Application</t>
  </si>
  <si>
    <t xml:space="preserve">Combinatorial Multi-Armed Bandit Based Unknown Worker Recruitment in Heterogeneous Crowdsensing</t>
  </si>
  <si>
    <t xml:space="preserve">Random algorithm; a-optimal; epsilon-first</t>
  </si>
  <si>
    <t xml:space="preserve">Epsilon-First Bandit Algorithm; Random Algorithm; Alpha-Optimal Algorithm</t>
  </si>
  <si>
    <t xml:space="preserve">Con-CNAME A Contextual Multi-armed Bandit Algorithm for Personalized Recommendations compressed</t>
  </si>
  <si>
    <t xml:space="preserve">pure Thompson Sampling; UCB-Normal</t>
  </si>
  <si>
    <t xml:space="preserve">Random approach; Most click approach; Click rate approach; Contextual click approach; Linear Bayes algorithm; Naïve III algorithm; CNAME; Asy-CNAME</t>
  </si>
  <si>
    <t xml:space="preserve">Contextual multi-armed bandit strategies for diagnosing post-harvest diseases of apple</t>
  </si>
  <si>
    <t xml:space="preserve">greedy; random stratified</t>
  </si>
  <si>
    <t xml:space="preserve">Random Selection; Greedy Policy</t>
  </si>
  <si>
    <t xml:space="preserve">Cooperative Multi-player Multi-Armed Bandit Computation Offloading in a Vehicular Cloud Network</t>
  </si>
  <si>
    <t xml:space="preserve">Exhaustive Algorithm; Greedy Algorithm; Random Algorithm</t>
  </si>
  <si>
    <t xml:space="preserve">Counterfactual Contextual Multi-Armed Bandit a Real-World Application to Diagnose Apple Diseases</t>
  </si>
  <si>
    <t xml:space="preserve">scalarized-UCB1; scalarized-KG; observed user decision models</t>
  </si>
  <si>
    <t xml:space="preserve">Observational (Obs);Thompson Sampling (TS);Extended Thompson Sampling (ExtTS);ZeroR Baseline</t>
  </si>
  <si>
    <t xml:space="preserve">Counterfactual Contextual Multi-Armed Bandit to Diagnose Post-Harvest Diseases of Apple</t>
  </si>
  <si>
    <t xml:space="preserve">traditional CMAB algorithms; observed user decisions</t>
  </si>
  <si>
    <t xml:space="preserve">Observational (Obs); Thompson Sampling (TS); Extended Thompson Sampling (ExtTS); ZeroR</t>
  </si>
  <si>
    <t xml:space="preserve">Dynamic clustering based contextual combinatorial multi-armed for online recommendation</t>
  </si>
  <si>
    <t xml:space="preserve">C2UCB;TPBandit;N-LinUCB;UCB;DynUCB;TS (Thompson Sampling)</t>
  </si>
  <si>
    <t xml:space="preserve">Dynamic Contextual Multi Arm Bandits in Display Advertisement</t>
  </si>
  <si>
    <t xml:space="preserve">standard MAB variations (unspecified)</t>
  </si>
  <si>
    <t xml:space="preserve">Thompson Sampling;UCB;Exp3;Contextual MAB; Current Running Exploration Framework on BrightRoll</t>
  </si>
  <si>
    <t xml:space="preserve">Dynamic Multi-Armed Bandit Algorithm for the Cyclic Bandwidth Sum Problem</t>
  </si>
  <si>
    <t xml:space="preserve">two reference algorithms from literature (unnamed); independent MA versions</t>
  </si>
  <si>
    <t xml:space="preserve">General Variable Neighborhood Search (GVNS); MACH (Metaheuristic for Constructive Heuristic); MA-34</t>
  </si>
  <si>
    <t xml:space="preserve">Dynamic Privacy Pricing A Multi-Armed Bandit Approach With Time-Variant Rewards</t>
  </si>
  <si>
    <t xml:space="preserve">VarUCB; LinUCB; VarLinUCB</t>
  </si>
  <si>
    <t xml:space="preserve">FixHalf;Random;HalfValue;UCB ;VarUCB;LinUCB; VarLinUCB</t>
  </si>
  <si>
    <t xml:space="preserve">Efficient Client Selection Based on Contextual Combinatorial Multi-Arm Bandits</t>
  </si>
  <si>
    <t xml:space="preserve">Random;FedCS;Oort</t>
  </si>
  <si>
    <t xml:space="preserve">effSAMWMIX An efficient Stochastic Multi-Armed Bandit Algorithm based on a Simulated Annealing with Multiplicative Weights</t>
  </si>
  <si>
    <t xml:space="preserve">KL-UCB; Thompson Sampling</t>
  </si>
  <si>
    <t xml:space="preserve">KL-UCB Algorithm;Thompson Sampling (TS) ;SAMWMIX; GO-SAMWMIX</t>
  </si>
  <si>
    <t xml:space="preserve">Empirical evaluation on discounted Thompson sampling for multi-armed bandit problem with piecewise-stationary Bernoulli arms</t>
  </si>
  <si>
    <t xml:space="preserve">Epsilon Greedy; SoftMax; UCB; Thompson Sampling</t>
  </si>
  <si>
    <t xml:space="preserve">Epsilon Greedy;SoftMax;Upper Confidence Bound (UCB);Thompson Sampling; Epsilon First (A/B Testing); Random Guess</t>
  </si>
  <si>
    <t xml:space="preserve">Extreme Compass and Dynamic Multi-Armed Bandits for Adaptive Operator Selection</t>
  </si>
  <si>
    <t xml:space="preserve">Compass; Ex-DMAB; Uniform Choice</t>
  </si>
  <si>
    <t xml:space="preserve">Hawkes Process Multi-armed Bandits for Search and Rescue</t>
  </si>
  <si>
    <t xml:space="preserve">Epsilon-Greedy;Upper Confidence Bound UCB1;Spatial Upper Confidence Bound (SpUCB); UCB1 with Hawkes Process (UCB1Hp); UCB1 with Hawkes Process and Spatial Smoothing (UCB1HpSp)</t>
  </si>
  <si>
    <t xml:space="preserve">Hierarchical Multi-Armed Bandits for Discovering Hidden Populations</t>
  </si>
  <si>
    <t xml:space="preserve">baseline samplers (unnamed)</t>
  </si>
  <si>
    <t xml:space="preserve">Uniform Query Sampling (EXP);Thompson Sampling (TMP); Lazy Slice Cover Search (LS); Content-Based Search (CB); Random Walk (RW)</t>
  </si>
  <si>
    <t xml:space="preserve">Knowledge Gradient for Multi-objective Multi-armed Bandit Algorithms</t>
  </si>
  <si>
    <t xml:space="preserve">Pareto-UCB1; linear-scalarized-UCB1; Chebyshev-scalarized-UCB1</t>
  </si>
  <si>
    <t xml:space="preserve">Upper Confidence Bound (UCB1);Pareto-UCB1;Linear scalarized-UCB1;Chebyshev-scalarized-UCB1</t>
  </si>
  <si>
    <t xml:space="preserve">Learning With Guarantee Via Constrained Multi-Armed Bandit Theory and Network Applications</t>
  </si>
  <si>
    <t xml:space="preserve">multi-play Thompson Sampling (MP-TS)</t>
  </si>
  <si>
    <t xml:space="preserve">Continuous Sampling and Exploration (CSE) Policy;Learning with Linear Rewards (LLR);Multi-Play Thompson Sampling (MP-TS)</t>
  </si>
  <si>
    <t xml:space="preserve">Learning-Based Beamforming for Multi-User Vehicular Communications- A Combinatorial Multi-Armed Bandit Approach</t>
  </si>
  <si>
    <t xml:space="preserve">Genie-Aided Scheme;Static Oracle Scheme;Random Selection Scenario</t>
  </si>
  <si>
    <t xml:space="preserve">Minimizing Entropy for Crowdsourcing with Combinatorial Multi-Armed Bandit</t>
  </si>
  <si>
    <t xml:space="preserve">Greedy Algorithm;Gaussian UCB;SDCB (Stochastically Dominant Confidence Bound)</t>
  </si>
  <si>
    <t xml:space="preserve">Modeling Choice Variation in Search Strategies with Multi-Armed Bandit Problems</t>
  </si>
  <si>
    <t xml:space="preserve">KL-UCB; Thompson Sampling; Market Buy &amp; Hold</t>
  </si>
  <si>
    <t xml:space="preserve">Instance-Based Learning (IBL) Model;Natural Mean Heuristic (NMH) Model</t>
  </si>
  <si>
    <t xml:space="preserve">Multi-armed bandit algorithms and empirical evaluation</t>
  </si>
  <si>
    <t xml:space="preserve">several bandit strategies (Vermorel-Mohri set, unnamed here)</t>
  </si>
  <si>
    <t xml:space="preserve">e-greedy;e-first;e-decreasing;LeastTaken;SoftMax;decreasing SoftMax;Exp3 ;INTESTIM;GaussMatch</t>
  </si>
  <si>
    <t xml:space="preserve">Multi-armed Bandit Based Hyper-Heuristics for the Permutation Flow Shop Problem</t>
  </si>
  <si>
    <t xml:space="preserve">FRRMAB; RMAB; MOEAD-FRRMAB; MOEAD-RMAB</t>
  </si>
  <si>
    <t xml:space="preserve">FRRMAB (Fitness-Rate-Rank based MAB);RMAB ;LinUCB;MOEA/D-DRA</t>
  </si>
  <si>
    <t xml:space="preserve">Multi-Armed Bandit in Action Optimizing Performance in Dynamic Hybrid Networks</t>
  </si>
  <si>
    <t xml:space="preserve">TCP+MPTCP; brute-force optimal rate</t>
  </si>
  <si>
    <t xml:space="preserve">MPTCP (MultiPath TCP);TCP Protocols;e-greedy and En-greedy Strategies;Rexp3 Strategy;Uniform Random Selection (rand)</t>
  </si>
  <si>
    <t xml:space="preserve">Multi-armed bandit learning on a graph</t>
  </si>
  <si>
    <t xml:space="preserve">UCRL2; UCB-H; non-stationary UCB1; EXP3; EXP4</t>
  </si>
  <si>
    <t xml:space="preserve">Local UCB and Local TS;QL-ε greedy and QL-UCB-H;UCRL2</t>
  </si>
  <si>
    <t xml:space="preserve">Multi-Armed Bandit-Based Client Scheduling for Federated Learning</t>
  </si>
  <si>
    <t xml:space="preserve">Random Scheduling Algorithm;Round Robin Algorithm;Local Accuracy Based Scheduling;Modified CS-UCB Algorithm</t>
  </si>
  <si>
    <t xml:space="preserve">Multi-Armed Bandits for Many-Task Evolutionary Optimization</t>
  </si>
  <si>
    <t xml:space="preserve">MFEA; SBSGA; MaTGA</t>
  </si>
  <si>
    <t xml:space="preserve">Multifactorial Evolutionary Algorithm (MFEA);Multifactorial Evolutionary Algorithm - II (MFEA-II);Group-based Multifactorial Evolutionary Algorithm (GMFEA);Evolutionary Many-tasking based on Symbiosis in Biocoenosis (SBSGA);Many-Task archive-based Genetic Algorithm (MaTGA)</t>
  </si>
  <si>
    <t xml:space="preserve">Multi-Armed Bandits Learning for Task Offloading in Maritime Edge Intelligence Networks</t>
  </si>
  <si>
    <t xml:space="preserve">UCB1 (traditional UCB); Epsilon-greedy</t>
  </si>
  <si>
    <t xml:space="preserve">Traditional UCB;Epsilon-Greedy;Full Local Offload</t>
  </si>
  <si>
    <t xml:space="preserve">Multivariate normal distribution based multi-armed bandit pareto algorithm</t>
  </si>
  <si>
    <t xml:space="preserve">Pareto-UCB1; Pareto-KG</t>
  </si>
  <si>
    <t xml:space="preserve">Annealing-Pareto;Pareto-UCB1;Pareto-KG (Knowledge Gradient)</t>
  </si>
  <si>
    <t xml:space="preserve">Network Intrusion Detection for Smart Infrastructure using Multi-armed Bandit based Reinfor</t>
  </si>
  <si>
    <t xml:space="preserve">Random arm selection</t>
  </si>
  <si>
    <t xml:space="preserve">Non-stationary UCB1 Algorithm;EXP3 Algorithm;EXP4 Algorithm;Random Arm Selection;KNN ;Reinforcement Learning</t>
  </si>
  <si>
    <t xml:space="preserve">Offloading Tasks to Unknown Edge Servers A Contextual Multi-Armed Bandit Approach</t>
  </si>
  <si>
    <t xml:space="preserve">UCB; LinUCB; Random</t>
  </si>
  <si>
    <t xml:space="preserve">UCB;LinUCB;Random;Optimum</t>
  </si>
  <si>
    <t xml:space="preserve">Online Interactive Collaborative Filtering Using Multi-Armed Bandit with Dependent Arms</t>
  </si>
  <si>
    <t xml:space="preserve">baseline algorithms (unnamed); replayer on Yahoo/MovieLens</t>
  </si>
  <si>
    <t xml:space="preserve">Random;ε-greedy ;UCB ;TS ;PTS</t>
  </si>
  <si>
    <t xml:space="preserve">Online it ticket automation recommendation using hierarchical multi-armed bandit algorithms</t>
  </si>
  <si>
    <t xml:space="preserve">conventional bandit algorithms (unnamed); LinUCB; EpsGreedy; HMAB-EpsGreedy</t>
  </si>
  <si>
    <t xml:space="preserve">Random;ε-greedy;TS;LinUCB</t>
  </si>
  <si>
    <t xml:space="preserve">Portfolio choice decision making with NBP-effSAMWMIX A Stochastic Multi-Armed Bandit Algorithm using Naïve Bandit Portfolio Approach</t>
  </si>
  <si>
    <t xml:space="preserve">KL-UCB;TS;UCB1; Market Buy &amp; Hold Strategy</t>
  </si>
  <si>
    <t xml:space="preserve">Rate Adaptation with Correlated Multi-Armed Bandits in 802.11 Systems</t>
  </si>
  <si>
    <t xml:space="preserve">Minstrel</t>
  </si>
  <si>
    <t xml:space="preserve">Restless Multi-Armed Bandits under Exogenous Global Markov Process</t>
  </si>
  <si>
    <t xml:space="preserve">RoundRobin; UCB1; Chaos; Chaos-CI</t>
  </si>
  <si>
    <t xml:space="preserve">Extended DSEE Algorithm; Average Best Arm Strategy</t>
  </si>
  <si>
    <t xml:space="preserve">Risk-Averse Multi-Armed Bandits with Unobserved Confounders A Case Study in Emotion Regulation in Mobile Health</t>
  </si>
  <si>
    <t xml:space="preserve">risk-averse MAB without causal bounds</t>
  </si>
  <si>
    <t xml:space="preserve">CVaR-UCB; Standard UCB algorithm</t>
  </si>
  <si>
    <t xml:space="preserve">Self-Unaware Adversarial Multi-Armed Bandits With Switching Costs</t>
  </si>
  <si>
    <t xml:space="preserve">three well-known stochastic algorithms (unnamed)</t>
  </si>
  <si>
    <t xml:space="preserve">UCB1; MOSS (Minimax Optimal Strategy in the Stochastic); UCBV; EXP3; INF</t>
  </si>
  <si>
    <t xml:space="preserve">Social Learning in Multi Agent Multi Armed Bandits</t>
  </si>
  <si>
    <t xml:space="preserve">no-communication baseline; full-interaction baseline</t>
  </si>
  <si>
    <t xml:space="preserve">No Communication Regime; Full Interaction Regime</t>
  </si>
  <si>
    <t xml:space="preserve">The scalarized multi-objective multi-armed bandit problem An empirical study of its exploration vs. exploitation tradeoff</t>
  </si>
  <si>
    <t xml:space="preserve">scalarized-UCB1; multi-objective UCB1</t>
  </si>
  <si>
    <t xml:space="preserve">UCB1; Multi-Objective UCB1 (MO-UCB1); Knowledge Gradient (KG) Policy; Scalarized Knowledge Gradient (Scalarized-KG)</t>
  </si>
  <si>
    <t xml:space="preserve">Thompson Sampling for Dynamic Multi-armed Bandits</t>
  </si>
  <si>
    <t xml:space="preserve">UCBf; TS; UCB-Normal</t>
  </si>
  <si>
    <t xml:space="preserve">Thompson Sampling (TS); UCB-1; UCB-Normal; UCBf; Kalman filter based scheme; Gittins Index based strategy;Restless Bandits (Whittle's); Adversarial Bandits</t>
  </si>
  <si>
    <t xml:space="preserve">Two-Phase Multi-armed Bandit for Online Recommendation</t>
  </si>
  <si>
    <t xml:space="preserve">TS; UCB; e-greedy (one-phase bandit baselines)</t>
  </si>
  <si>
    <t xml:space="preserve">ε-greedy; Thompson Sampling (TS); Popular; TS_TS</t>
  </si>
  <si>
    <t xml:space="preserve">Cohen's kappa on baseline-status agreement (Coded vs Indeterminate)</t>
  </si>
  <si>
    <t xml:space="preserve">Contingency cell</t>
  </si>
  <si>
    <t xml:space="preserve">Count</t>
  </si>
  <si>
    <t xml:space="preserve">a: R1=Coded &amp; R2=Coded</t>
  </si>
  <si>
    <t xml:space="preserve">b: R1=Coded &amp; R2=Indeterminate</t>
  </si>
  <si>
    <t xml:space="preserve">c: R1=Indeterminate &amp; R2=Coded</t>
  </si>
  <si>
    <t xml:space="preserve">d: R1=Indeterminate &amp; R2=Indeterminate</t>
  </si>
  <si>
    <t xml:space="preserve">N = a+b+c+d</t>
  </si>
  <si>
    <t xml:space="preserve">Po = (a+d)/N</t>
  </si>
  <si>
    <t xml:space="preserve">Pe = ((a+b)(a+c)+(c+d)(b+d))/N^2</t>
  </si>
  <si>
    <t xml:space="preserve">Cohen's kappa = (Po-Pe)/(1-Pe)</t>
  </si>
  <si>
    <t xml:space="preserve">Agreements (R2 vs R1 = Agree)</t>
  </si>
  <si>
    <t xml:space="preserve">Disagreements (R2 vs R1 = Disagree)</t>
  </si>
  <si>
    <t xml:space="preserve">Resolved: studies naming &gt;=1 baseline (Coded)</t>
  </si>
  <si>
    <t xml:space="preserve">Resolved: Indeterminate</t>
  </si>
  <si>
    <t xml:space="preserve">Interpretation (Landis &amp; Koch, 1977): &lt;0 poor; 0.01-0.20 slight; 0.21-0.40 fair; 0.41-0.60 moderate; 0.61-0.80 substantial; 0.81-1.00 almost perfect.</t>
  </si>
  <si>
    <t xml:space="preserve">The negative kappa here indicates the two reviewers' status judgements diverged beyond chance; the divergence was one-directional (Reviewer 2 found baselines Reviewer 1 had not), so Reviewer 2's source-based reading was adopted as authoritative.</t>
  </si>
  <si>
    <t xml:space="preserve">Verified baseline-role counts (Reviewer-2 authoritative; one count per study; the study's own proposed method excluded).</t>
  </si>
  <si>
    <t xml:space="preserve">Baseline algorithm / family</t>
  </si>
  <si>
    <t xml:space="preserve">Studies (n)</t>
  </si>
  <si>
    <t xml:space="preserve">% of 62</t>
  </si>
  <si>
    <t xml:space="preserve">Upper Confidence Bound family (any variant)</t>
  </si>
  <si>
    <t xml:space="preserve">   - UCB1 (incl. Pareto-UCB1, scalarized-UCB1, traditional UCB)</t>
  </si>
  <si>
    <t xml:space="preserve">   - LinUCB / N-LinUCB</t>
  </si>
  <si>
    <t xml:space="preserve">   - KL-UCB</t>
  </si>
  <si>
    <t xml:space="preserve">   - UCB, generic / unspecified variant</t>
  </si>
  <si>
    <t xml:space="preserve">Thompson Sampling (incl. Pareto-TS, MP-TS, PTS)</t>
  </si>
  <si>
    <t xml:space="preserve">Random policy</t>
  </si>
  <si>
    <t xml:space="preserve">Epsilon-greedy</t>
  </si>
  <si>
    <t xml:space="preserve">Greedy (pure / Gaussian / oracle greedy)</t>
  </si>
  <si>
    <t xml:space="preserve">EXP3 / EXP4</t>
  </si>
  <si>
    <t xml:space="preserve">Epsilon-first / epsilon-decreasing</t>
  </si>
  <si>
    <t xml:space="preserve">Oracle / optimal / genie-aided</t>
  </si>
  <si>
    <t xml:space="preserve">Pareto-KG / Knowledge Gradient</t>
  </si>
  <si>
    <t xml:space="preserve">Softmax / Boltzmann</t>
  </si>
  <si>
    <t xml:space="preserve">FRRMAB / RMAB family</t>
  </si>
  <si>
    <t xml:space="preserve">Round Robin</t>
  </si>
  <si>
    <t xml:space="preserve">MOSS</t>
  </si>
  <si>
    <t xml:space="preserve">DSEE</t>
  </si>
  <si>
    <t xml:space="preserve">NSGA-II / IBEA / SPEA-2</t>
  </si>
  <si>
    <t xml:space="preserve">MPTCP / TCP</t>
  </si>
  <si>
    <t xml:space="preserve">Note. Counts sum to more than 62 because most studies use several baselines. UCB sub-rows may overlap within a study; the family row counts each study once. Based on the resolved (Reviewer-2 authoritative) coding in the Reconciliation sheet.</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</si>
</sst>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2"/>
      <name val="Arial"/>
      <family val="0"/>
      <charset val="1"/>
    </font>
    <font>
      <sz val="11"/>
      <name val="Arial"/>
      <family val="0"/>
      <charset val="1"/>
    </font>
    <font>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b val="true"/>
      <sz val="11"/>
      <name val="Arial"/>
      <family val="0"/>
      <charset val="1"/>
    </font>
  </fonts>
  <fills count="7">
    <fill>
      <patternFill patternType="none"/>
    </fill>
    <fill>
      <patternFill patternType="gray125"/>
    </fill>
    <fill>
      <patternFill patternType="solid">
        <fgColor rgb="FF2E5496"/>
        <bgColor rgb="FF1F3864"/>
      </patternFill>
    </fill>
    <fill>
      <patternFill patternType="solid">
        <fgColor rgb="FF1F3864"/>
        <bgColor rgb="FF333333"/>
      </patternFill>
    </fill>
    <fill>
      <patternFill patternType="solid">
        <fgColor rgb="FFFFF2CC"/>
        <bgColor rgb="FFFCE4D6"/>
      </patternFill>
    </fill>
    <fill>
      <patternFill patternType="solid">
        <fgColor rgb="FFE2EFDA"/>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5"/>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26.85" hidden="false" customHeight="false" outlineLevel="0" collapsed="false">
      <c r="A4" s="4" t="s">
        <v>2</v>
      </c>
    </row>
    <row r="5" customFormat="false" ht="15" hidden="false" customHeight="false" outlineLevel="0" collapsed="false">
      <c r="A5" s="4" t="s">
        <v>3</v>
      </c>
    </row>
    <row r="6" customFormat="false" ht="26.85" hidden="false" customHeight="false" outlineLevel="0" collapsed="false">
      <c r="A6" s="4" t="s">
        <v>4</v>
      </c>
    </row>
    <row r="7" customFormat="false" ht="15" hidden="false" customHeight="false" outlineLevel="0" collapsed="false">
      <c r="A7" s="3"/>
    </row>
    <row r="8" customFormat="false" ht="15" hidden="false" customHeight="false" outlineLevel="0" collapsed="false">
      <c r="A8" s="2" t="s">
        <v>5</v>
      </c>
    </row>
    <row r="9" customFormat="false" ht="39.55" hidden="false" customHeight="false" outlineLevel="0" collapsed="false">
      <c r="A9" s="4" t="s">
        <v>6</v>
      </c>
    </row>
    <row r="10" customFormat="false" ht="15" hidden="false" customHeight="false" outlineLevel="0" collapsed="false">
      <c r="A10" s="3"/>
    </row>
    <row r="11" customFormat="false" ht="15" hidden="false" customHeight="false" outlineLevel="0" collapsed="false">
      <c r="A11" s="2" t="s">
        <v>7</v>
      </c>
    </row>
    <row r="12" customFormat="false" ht="52.2" hidden="false" customHeight="false" outlineLevel="0" collapsed="false">
      <c r="A12" s="4" t="s">
        <v>8</v>
      </c>
    </row>
    <row r="13" customFormat="false" ht="15" hidden="false" customHeight="false" outlineLevel="0" collapsed="false">
      <c r="A13" s="3"/>
    </row>
    <row r="14" customFormat="false" ht="15" hidden="false" customHeight="false" outlineLevel="0" collapsed="false">
      <c r="A14" s="2" t="s">
        <v>9</v>
      </c>
    </row>
    <row r="15" customFormat="false" ht="26.85" hidden="false" customHeight="false" outlineLevel="0" collapsed="false">
      <c r="A15" s="4" t="s">
        <v>10</v>
      </c>
    </row>
    <row r="16" customFormat="false" ht="15" hidden="false" customHeight="false" outlineLevel="0" collapsed="false">
      <c r="A16" s="3"/>
    </row>
    <row r="17" customFormat="false" ht="15" hidden="false" customHeight="false" outlineLevel="0" collapsed="false">
      <c r="A17" s="2" t="s">
        <v>11</v>
      </c>
    </row>
    <row r="18" customFormat="false" ht="15" hidden="false" customHeight="false" outlineLevel="0" collapsed="false">
      <c r="A18" s="4" t="s">
        <v>12</v>
      </c>
    </row>
    <row r="19" customFormat="false" ht="15" hidden="false" customHeight="false" outlineLevel="0" collapsed="false">
      <c r="A19" s="4" t="s">
        <v>13</v>
      </c>
    </row>
    <row r="20" customFormat="false" ht="26.85" hidden="false" customHeight="false" outlineLevel="0" collapsed="false">
      <c r="A20" s="4" t="s">
        <v>14</v>
      </c>
    </row>
    <row r="21" customFormat="false" ht="15" hidden="false" customHeight="false" outlineLevel="0" collapsed="false">
      <c r="A21" s="3"/>
    </row>
    <row r="22" customFormat="false" ht="15" hidden="false" customHeight="false" outlineLevel="0" collapsed="false">
      <c r="A22" s="2" t="s">
        <v>15</v>
      </c>
    </row>
    <row r="23" customFormat="false" ht="39.55" hidden="false" customHeight="false" outlineLevel="0" collapsed="false">
      <c r="A23" s="4" t="s">
        <v>16</v>
      </c>
    </row>
    <row r="24" customFormat="false" ht="15" hidden="false" customHeight="false" outlineLevel="0" collapsed="false">
      <c r="A24" s="3"/>
    </row>
    <row r="25" customFormat="false" ht="15" hidden="false" customHeight="false" outlineLevel="0" collapsed="false">
      <c r="A25" s="5" t="s">
        <v>17</v>
      </c>
    </row>
    <row r="26" customFormat="false" ht="23.85" hidden="false" customHeight="false" outlineLevel="0" collapsed="false">
      <c r="A26" s="5"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30"/>
    <col collapsed="false" customWidth="true" hidden="false" outlineLevel="0" max="4" min="4" style="0" width="13"/>
    <col collapsed="false" customWidth="true" hidden="false" outlineLevel="0" max="5" min="5" style="0" width="40"/>
    <col collapsed="false" customWidth="true" hidden="false" outlineLevel="0" max="6" min="6" style="0" width="13"/>
    <col collapsed="false" customWidth="true" hidden="false" outlineLevel="0" max="7" min="7" style="0" width="12"/>
    <col collapsed="false" customWidth="true" hidden="false" outlineLevel="0" max="8" min="8" style="0" width="40"/>
    <col collapsed="false" customWidth="true" hidden="false" outlineLevel="0" max="9" min="9" style="0" width="15"/>
    <col collapsed="false" customWidth="true" hidden="false" outlineLevel="0" max="10" min="10" style="0" width="34"/>
  </cols>
  <sheetData>
    <row r="1" customFormat="false" ht="18" hidden="false" customHeight="true" outlineLevel="0" collapsed="false">
      <c r="C1" s="6" t="s">
        <v>19</v>
      </c>
      <c r="D1" s="6"/>
      <c r="E1" s="6" t="s">
        <v>20</v>
      </c>
      <c r="F1" s="6"/>
      <c r="G1" s="6"/>
      <c r="H1" s="7" t="s">
        <v>21</v>
      </c>
      <c r="I1" s="7"/>
      <c r="J1" s="7"/>
    </row>
    <row r="2" customFormat="false" ht="39.75" hidden="false" customHeight="true" outlineLevel="0" collapsed="false">
      <c r="A2" s="8" t="s">
        <v>22</v>
      </c>
      <c r="B2" s="8" t="s">
        <v>23</v>
      </c>
      <c r="C2" s="8" t="s">
        <v>24</v>
      </c>
      <c r="D2" s="8" t="s">
        <v>25</v>
      </c>
      <c r="E2" s="8" t="s">
        <v>26</v>
      </c>
      <c r="F2" s="8" t="s">
        <v>27</v>
      </c>
      <c r="G2" s="8" t="s">
        <v>28</v>
      </c>
      <c r="H2" s="8" t="s">
        <v>29</v>
      </c>
      <c r="I2" s="8" t="s">
        <v>30</v>
      </c>
      <c r="J2" s="8" t="s">
        <v>31</v>
      </c>
    </row>
    <row r="3" customFormat="false" ht="79.85" hidden="false" customHeight="false" outlineLevel="0" collapsed="false">
      <c r="A3" s="9" t="n">
        <v>1</v>
      </c>
      <c r="B3" s="10" t="s">
        <v>32</v>
      </c>
      <c r="C3" s="10" t="s">
        <v>33</v>
      </c>
      <c r="D3" s="9" t="s">
        <v>34</v>
      </c>
      <c r="E3" s="10" t="s">
        <v>35</v>
      </c>
      <c r="F3" s="9" t="s">
        <v>36</v>
      </c>
      <c r="G3" s="11" t="s">
        <v>37</v>
      </c>
      <c r="H3" s="10" t="s">
        <v>35</v>
      </c>
      <c r="I3" s="12" t="s">
        <v>36</v>
      </c>
      <c r="J3" s="10" t="s">
        <v>38</v>
      </c>
    </row>
    <row r="4" customFormat="false" ht="57.45" hidden="false" customHeight="false" outlineLevel="0" collapsed="false">
      <c r="A4" s="9" t="n">
        <v>2</v>
      </c>
      <c r="B4" s="10" t="s">
        <v>39</v>
      </c>
      <c r="C4" s="10" t="s">
        <v>33</v>
      </c>
      <c r="D4" s="9" t="s">
        <v>34</v>
      </c>
      <c r="E4" s="10" t="s">
        <v>40</v>
      </c>
      <c r="F4" s="9" t="s">
        <v>36</v>
      </c>
      <c r="G4" s="11" t="s">
        <v>37</v>
      </c>
      <c r="H4" s="10" t="s">
        <v>40</v>
      </c>
      <c r="I4" s="12" t="s">
        <v>36</v>
      </c>
      <c r="J4" s="10" t="s">
        <v>41</v>
      </c>
    </row>
    <row r="5" customFormat="false" ht="147" hidden="false" customHeight="false" outlineLevel="0" collapsed="false">
      <c r="A5" s="9" t="n">
        <v>3</v>
      </c>
      <c r="B5" s="10" t="s">
        <v>42</v>
      </c>
      <c r="C5" s="10" t="s">
        <v>43</v>
      </c>
      <c r="D5" s="9" t="s">
        <v>36</v>
      </c>
      <c r="E5" s="10" t="s">
        <v>44</v>
      </c>
      <c r="F5" s="9" t="s">
        <v>36</v>
      </c>
      <c r="G5" s="9" t="s">
        <v>45</v>
      </c>
      <c r="H5" s="10" t="s">
        <v>44</v>
      </c>
      <c r="I5" s="12" t="s">
        <v>36</v>
      </c>
      <c r="J5" s="10" t="s">
        <v>46</v>
      </c>
    </row>
    <row r="6" customFormat="false" ht="23.85" hidden="false" customHeight="false" outlineLevel="0" collapsed="false">
      <c r="A6" s="9" t="n">
        <v>4</v>
      </c>
      <c r="B6" s="10" t="s">
        <v>47</v>
      </c>
      <c r="C6" s="10" t="s">
        <v>48</v>
      </c>
      <c r="D6" s="9" t="s">
        <v>36</v>
      </c>
      <c r="E6" s="10" t="s">
        <v>49</v>
      </c>
      <c r="F6" s="9" t="s">
        <v>36</v>
      </c>
      <c r="G6" s="9" t="s">
        <v>45</v>
      </c>
      <c r="H6" s="10" t="s">
        <v>49</v>
      </c>
      <c r="I6" s="12" t="s">
        <v>36</v>
      </c>
      <c r="J6" s="10"/>
    </row>
    <row r="7" customFormat="false" ht="35.05" hidden="false" customHeight="false" outlineLevel="0" collapsed="false">
      <c r="A7" s="9" t="n">
        <v>5</v>
      </c>
      <c r="B7" s="10" t="s">
        <v>50</v>
      </c>
      <c r="C7" s="10" t="s">
        <v>51</v>
      </c>
      <c r="D7" s="9" t="s">
        <v>36</v>
      </c>
      <c r="E7" s="10" t="s">
        <v>52</v>
      </c>
      <c r="F7" s="9" t="s">
        <v>36</v>
      </c>
      <c r="G7" s="11" t="s">
        <v>37</v>
      </c>
      <c r="H7" s="10" t="s">
        <v>52</v>
      </c>
      <c r="I7" s="12" t="s">
        <v>36</v>
      </c>
      <c r="J7" s="10" t="s">
        <v>53</v>
      </c>
    </row>
    <row r="8" customFormat="false" ht="23.85" hidden="false" customHeight="false" outlineLevel="0" collapsed="false">
      <c r="A8" s="9" t="n">
        <v>6</v>
      </c>
      <c r="B8" s="10" t="s">
        <v>54</v>
      </c>
      <c r="C8" s="10" t="s">
        <v>55</v>
      </c>
      <c r="D8" s="9" t="s">
        <v>36</v>
      </c>
      <c r="E8" s="10" t="s">
        <v>55</v>
      </c>
      <c r="F8" s="9" t="s">
        <v>36</v>
      </c>
      <c r="G8" s="9" t="s">
        <v>45</v>
      </c>
      <c r="H8" s="10" t="s">
        <v>55</v>
      </c>
      <c r="I8" s="12" t="s">
        <v>36</v>
      </c>
      <c r="J8" s="10"/>
    </row>
    <row r="9" customFormat="false" ht="23.85" hidden="false" customHeight="false" outlineLevel="0" collapsed="false">
      <c r="A9" s="9" t="n">
        <v>7</v>
      </c>
      <c r="B9" s="10" t="s">
        <v>56</v>
      </c>
      <c r="C9" s="10" t="s">
        <v>33</v>
      </c>
      <c r="D9" s="9" t="s">
        <v>34</v>
      </c>
      <c r="E9" s="10" t="s">
        <v>57</v>
      </c>
      <c r="F9" s="9" t="s">
        <v>36</v>
      </c>
      <c r="G9" s="11" t="s">
        <v>37</v>
      </c>
      <c r="H9" s="10" t="s">
        <v>57</v>
      </c>
      <c r="I9" s="12" t="s">
        <v>36</v>
      </c>
      <c r="J9" s="10"/>
    </row>
    <row r="10" customFormat="false" ht="23.85" hidden="false" customHeight="false" outlineLevel="0" collapsed="false">
      <c r="A10" s="9" t="n">
        <v>8</v>
      </c>
      <c r="B10" s="10" t="s">
        <v>58</v>
      </c>
      <c r="C10" s="10" t="s">
        <v>33</v>
      </c>
      <c r="D10" s="9" t="s">
        <v>34</v>
      </c>
      <c r="E10" s="10" t="s">
        <v>59</v>
      </c>
      <c r="F10" s="9" t="s">
        <v>36</v>
      </c>
      <c r="G10" s="11" t="s">
        <v>37</v>
      </c>
      <c r="H10" s="10" t="s">
        <v>59</v>
      </c>
      <c r="I10" s="12" t="s">
        <v>36</v>
      </c>
      <c r="J10" s="10"/>
    </row>
    <row r="11" customFormat="false" ht="23.85" hidden="false" customHeight="false" outlineLevel="0" collapsed="false">
      <c r="A11" s="9" t="n">
        <v>9</v>
      </c>
      <c r="B11" s="10" t="s">
        <v>60</v>
      </c>
      <c r="C11" s="10" t="s">
        <v>61</v>
      </c>
      <c r="D11" s="9" t="s">
        <v>36</v>
      </c>
      <c r="E11" s="10" t="s">
        <v>62</v>
      </c>
      <c r="F11" s="9" t="s">
        <v>36</v>
      </c>
      <c r="G11" s="9" t="s">
        <v>45</v>
      </c>
      <c r="H11" s="10" t="s">
        <v>62</v>
      </c>
      <c r="I11" s="12" t="s">
        <v>36</v>
      </c>
      <c r="J11" s="10"/>
    </row>
    <row r="12" customFormat="false" ht="35.05" hidden="false" customHeight="false" outlineLevel="0" collapsed="false">
      <c r="A12" s="9" t="n">
        <v>10</v>
      </c>
      <c r="B12" s="10" t="s">
        <v>63</v>
      </c>
      <c r="C12" s="10" t="s">
        <v>33</v>
      </c>
      <c r="D12" s="9" t="s">
        <v>34</v>
      </c>
      <c r="E12" s="10" t="s">
        <v>64</v>
      </c>
      <c r="F12" s="9" t="s">
        <v>36</v>
      </c>
      <c r="G12" s="11" t="s">
        <v>37</v>
      </c>
      <c r="H12" s="10" t="s">
        <v>64</v>
      </c>
      <c r="I12" s="12" t="s">
        <v>36</v>
      </c>
      <c r="J12" s="10"/>
    </row>
    <row r="13" customFormat="false" ht="23.85" hidden="false" customHeight="false" outlineLevel="0" collapsed="false">
      <c r="A13" s="9" t="n">
        <v>11</v>
      </c>
      <c r="B13" s="10" t="s">
        <v>65</v>
      </c>
      <c r="C13" s="10" t="s">
        <v>33</v>
      </c>
      <c r="D13" s="9" t="s">
        <v>34</v>
      </c>
      <c r="E13" s="10" t="s">
        <v>66</v>
      </c>
      <c r="F13" s="9" t="s">
        <v>36</v>
      </c>
      <c r="G13" s="11" t="s">
        <v>37</v>
      </c>
      <c r="H13" s="10" t="s">
        <v>66</v>
      </c>
      <c r="I13" s="12" t="s">
        <v>36</v>
      </c>
      <c r="J13" s="10"/>
    </row>
    <row r="14" customFormat="false" ht="23.85" hidden="false" customHeight="false" outlineLevel="0" collapsed="false">
      <c r="A14" s="9" t="n">
        <v>12</v>
      </c>
      <c r="B14" s="10" t="s">
        <v>67</v>
      </c>
      <c r="C14" s="10" t="s">
        <v>68</v>
      </c>
      <c r="D14" s="9" t="s">
        <v>36</v>
      </c>
      <c r="E14" s="10" t="s">
        <v>69</v>
      </c>
      <c r="F14" s="9" t="s">
        <v>36</v>
      </c>
      <c r="G14" s="11" t="s">
        <v>37</v>
      </c>
      <c r="H14" s="10" t="s">
        <v>69</v>
      </c>
      <c r="I14" s="12" t="s">
        <v>36</v>
      </c>
      <c r="J14" s="10"/>
    </row>
    <row r="15" customFormat="false" ht="35.05" hidden="false" customHeight="false" outlineLevel="0" collapsed="false">
      <c r="A15" s="9" t="n">
        <v>13</v>
      </c>
      <c r="B15" s="10" t="s">
        <v>70</v>
      </c>
      <c r="C15" s="10" t="s">
        <v>33</v>
      </c>
      <c r="D15" s="9" t="s">
        <v>34</v>
      </c>
      <c r="E15" s="10" t="s">
        <v>71</v>
      </c>
      <c r="F15" s="9" t="s">
        <v>36</v>
      </c>
      <c r="G15" s="11" t="s">
        <v>37</v>
      </c>
      <c r="H15" s="10" t="s">
        <v>71</v>
      </c>
      <c r="I15" s="12" t="s">
        <v>36</v>
      </c>
      <c r="J15" s="10"/>
    </row>
    <row r="16" customFormat="false" ht="23.85" hidden="false" customHeight="false" outlineLevel="0" collapsed="false">
      <c r="A16" s="9" t="n">
        <v>14</v>
      </c>
      <c r="B16" s="10" t="s">
        <v>72</v>
      </c>
      <c r="C16" s="10" t="s">
        <v>73</v>
      </c>
      <c r="D16" s="9" t="s">
        <v>36</v>
      </c>
      <c r="E16" s="10" t="s">
        <v>74</v>
      </c>
      <c r="F16" s="9" t="s">
        <v>36</v>
      </c>
      <c r="G16" s="11" t="s">
        <v>37</v>
      </c>
      <c r="H16" s="10" t="s">
        <v>74</v>
      </c>
      <c r="I16" s="12" t="s">
        <v>36</v>
      </c>
      <c r="J16" s="10"/>
    </row>
    <row r="17" customFormat="false" ht="23.85" hidden="false" customHeight="false" outlineLevel="0" collapsed="false">
      <c r="A17" s="9" t="n">
        <v>15</v>
      </c>
      <c r="B17" s="10" t="s">
        <v>75</v>
      </c>
      <c r="C17" s="10" t="s">
        <v>76</v>
      </c>
      <c r="D17" s="9" t="s">
        <v>36</v>
      </c>
      <c r="E17" s="10" t="s">
        <v>77</v>
      </c>
      <c r="F17" s="9" t="s">
        <v>36</v>
      </c>
      <c r="G17" s="9" t="s">
        <v>45</v>
      </c>
      <c r="H17" s="10" t="s">
        <v>77</v>
      </c>
      <c r="I17" s="12" t="s">
        <v>36</v>
      </c>
      <c r="J17" s="10"/>
    </row>
    <row r="18" customFormat="false" ht="23.85" hidden="false" customHeight="false" outlineLevel="0" collapsed="false">
      <c r="A18" s="9" t="n">
        <v>16</v>
      </c>
      <c r="B18" s="10" t="s">
        <v>78</v>
      </c>
      <c r="C18" s="10" t="s">
        <v>79</v>
      </c>
      <c r="D18" s="9" t="s">
        <v>36</v>
      </c>
      <c r="E18" s="10" t="s">
        <v>79</v>
      </c>
      <c r="F18" s="9" t="s">
        <v>36</v>
      </c>
      <c r="G18" s="9" t="s">
        <v>45</v>
      </c>
      <c r="H18" s="10" t="s">
        <v>79</v>
      </c>
      <c r="I18" s="12" t="s">
        <v>36</v>
      </c>
      <c r="J18" s="10"/>
    </row>
    <row r="19" customFormat="false" ht="23.85" hidden="false" customHeight="false" outlineLevel="0" collapsed="false">
      <c r="A19" s="9" t="n">
        <v>17</v>
      </c>
      <c r="B19" s="10" t="s">
        <v>80</v>
      </c>
      <c r="C19" s="10" t="s">
        <v>33</v>
      </c>
      <c r="D19" s="9" t="s">
        <v>34</v>
      </c>
      <c r="E19" s="10" t="s">
        <v>81</v>
      </c>
      <c r="F19" s="9" t="s">
        <v>36</v>
      </c>
      <c r="G19" s="11" t="s">
        <v>37</v>
      </c>
      <c r="H19" s="10" t="s">
        <v>81</v>
      </c>
      <c r="I19" s="12" t="s">
        <v>36</v>
      </c>
      <c r="J19" s="10"/>
    </row>
    <row r="20" customFormat="false" ht="23.85" hidden="false" customHeight="false" outlineLevel="0" collapsed="false">
      <c r="A20" s="9" t="n">
        <v>18</v>
      </c>
      <c r="B20" s="10" t="s">
        <v>82</v>
      </c>
      <c r="C20" s="10" t="s">
        <v>83</v>
      </c>
      <c r="D20" s="9" t="s">
        <v>36</v>
      </c>
      <c r="E20" s="10" t="s">
        <v>83</v>
      </c>
      <c r="F20" s="9" t="s">
        <v>36</v>
      </c>
      <c r="G20" s="9" t="s">
        <v>45</v>
      </c>
      <c r="H20" s="10" t="s">
        <v>83</v>
      </c>
      <c r="I20" s="12" t="s">
        <v>36</v>
      </c>
      <c r="J20" s="10"/>
    </row>
    <row r="21" customFormat="false" ht="46.25" hidden="false" customHeight="false" outlineLevel="0" collapsed="false">
      <c r="A21" s="9" t="n">
        <v>19</v>
      </c>
      <c r="B21" s="10" t="s">
        <v>84</v>
      </c>
      <c r="C21" s="10" t="s">
        <v>33</v>
      </c>
      <c r="D21" s="9" t="s">
        <v>34</v>
      </c>
      <c r="E21" s="10" t="s">
        <v>85</v>
      </c>
      <c r="F21" s="9" t="s">
        <v>36</v>
      </c>
      <c r="G21" s="11" t="s">
        <v>37</v>
      </c>
      <c r="H21" s="10" t="s">
        <v>85</v>
      </c>
      <c r="I21" s="12" t="s">
        <v>36</v>
      </c>
      <c r="J21" s="10"/>
    </row>
    <row r="22" customFormat="false" ht="23.85" hidden="false" customHeight="false" outlineLevel="0" collapsed="false">
      <c r="A22" s="9" t="n">
        <v>20</v>
      </c>
      <c r="B22" s="10" t="s">
        <v>86</v>
      </c>
      <c r="C22" s="10" t="s">
        <v>33</v>
      </c>
      <c r="D22" s="9" t="s">
        <v>34</v>
      </c>
      <c r="E22" s="10" t="s">
        <v>81</v>
      </c>
      <c r="F22" s="9" t="s">
        <v>36</v>
      </c>
      <c r="G22" s="11" t="s">
        <v>37</v>
      </c>
      <c r="H22" s="10" t="s">
        <v>81</v>
      </c>
      <c r="I22" s="12" t="s">
        <v>36</v>
      </c>
      <c r="J22" s="10"/>
    </row>
    <row r="23" customFormat="false" ht="23.85" hidden="false" customHeight="false" outlineLevel="0" collapsed="false">
      <c r="A23" s="9" t="n">
        <v>21</v>
      </c>
      <c r="B23" s="10" t="s">
        <v>87</v>
      </c>
      <c r="C23" s="10" t="s">
        <v>88</v>
      </c>
      <c r="D23" s="9" t="s">
        <v>36</v>
      </c>
      <c r="E23" s="10" t="s">
        <v>89</v>
      </c>
      <c r="F23" s="9" t="s">
        <v>36</v>
      </c>
      <c r="G23" s="9" t="s">
        <v>45</v>
      </c>
      <c r="H23" s="10" t="s">
        <v>89</v>
      </c>
      <c r="I23" s="12" t="s">
        <v>36</v>
      </c>
      <c r="J23" s="10"/>
    </row>
    <row r="24" customFormat="false" ht="46.25" hidden="false" customHeight="false" outlineLevel="0" collapsed="false">
      <c r="A24" s="9" t="n">
        <v>22</v>
      </c>
      <c r="B24" s="10" t="s">
        <v>90</v>
      </c>
      <c r="C24" s="10" t="s">
        <v>91</v>
      </c>
      <c r="D24" s="9" t="s">
        <v>36</v>
      </c>
      <c r="E24" s="10" t="s">
        <v>92</v>
      </c>
      <c r="F24" s="9" t="s">
        <v>36</v>
      </c>
      <c r="G24" s="11" t="s">
        <v>37</v>
      </c>
      <c r="H24" s="10" t="s">
        <v>92</v>
      </c>
      <c r="I24" s="12" t="s">
        <v>36</v>
      </c>
      <c r="J24" s="10"/>
    </row>
    <row r="25" customFormat="false" ht="23.85" hidden="false" customHeight="false" outlineLevel="0" collapsed="false">
      <c r="A25" s="9" t="n">
        <v>23</v>
      </c>
      <c r="B25" s="10" t="s">
        <v>93</v>
      </c>
      <c r="C25" s="10" t="s">
        <v>94</v>
      </c>
      <c r="D25" s="9" t="s">
        <v>36</v>
      </c>
      <c r="E25" s="10" t="s">
        <v>95</v>
      </c>
      <c r="F25" s="9" t="s">
        <v>36</v>
      </c>
      <c r="G25" s="9" t="s">
        <v>45</v>
      </c>
      <c r="H25" s="10" t="s">
        <v>95</v>
      </c>
      <c r="I25" s="12" t="s">
        <v>36</v>
      </c>
      <c r="J25" s="10"/>
    </row>
    <row r="26" customFormat="false" ht="23.85" hidden="false" customHeight="false" outlineLevel="0" collapsed="false">
      <c r="A26" s="9" t="n">
        <v>24</v>
      </c>
      <c r="B26" s="10" t="s">
        <v>96</v>
      </c>
      <c r="C26" s="10" t="s">
        <v>33</v>
      </c>
      <c r="D26" s="9" t="s">
        <v>34</v>
      </c>
      <c r="E26" s="10" t="s">
        <v>97</v>
      </c>
      <c r="F26" s="9" t="s">
        <v>36</v>
      </c>
      <c r="G26" s="11" t="s">
        <v>37</v>
      </c>
      <c r="H26" s="10" t="s">
        <v>97</v>
      </c>
      <c r="I26" s="12" t="s">
        <v>36</v>
      </c>
      <c r="J26" s="10"/>
    </row>
    <row r="27" customFormat="false" ht="35.05" hidden="false" customHeight="false" outlineLevel="0" collapsed="false">
      <c r="A27" s="9" t="n">
        <v>25</v>
      </c>
      <c r="B27" s="10" t="s">
        <v>98</v>
      </c>
      <c r="C27" s="10" t="s">
        <v>99</v>
      </c>
      <c r="D27" s="9" t="s">
        <v>36</v>
      </c>
      <c r="E27" s="10" t="s">
        <v>100</v>
      </c>
      <c r="F27" s="9" t="s">
        <v>36</v>
      </c>
      <c r="G27" s="11" t="s">
        <v>37</v>
      </c>
      <c r="H27" s="10" t="s">
        <v>100</v>
      </c>
      <c r="I27" s="12" t="s">
        <v>36</v>
      </c>
      <c r="J27" s="10"/>
    </row>
    <row r="28" customFormat="false" ht="23.85" hidden="false" customHeight="false" outlineLevel="0" collapsed="false">
      <c r="A28" s="9" t="n">
        <v>26</v>
      </c>
      <c r="B28" s="10" t="s">
        <v>101</v>
      </c>
      <c r="C28" s="10" t="s">
        <v>102</v>
      </c>
      <c r="D28" s="9" t="s">
        <v>36</v>
      </c>
      <c r="E28" s="10" t="s">
        <v>103</v>
      </c>
      <c r="F28" s="9" t="s">
        <v>36</v>
      </c>
      <c r="G28" s="11" t="s">
        <v>37</v>
      </c>
      <c r="H28" s="10" t="s">
        <v>103</v>
      </c>
      <c r="I28" s="12" t="s">
        <v>36</v>
      </c>
      <c r="J28" s="10"/>
    </row>
    <row r="29" customFormat="false" ht="23.85" hidden="false" customHeight="false" outlineLevel="0" collapsed="false">
      <c r="A29" s="9" t="n">
        <v>27</v>
      </c>
      <c r="B29" s="10" t="s">
        <v>104</v>
      </c>
      <c r="C29" s="10" t="s">
        <v>33</v>
      </c>
      <c r="D29" s="9" t="s">
        <v>34</v>
      </c>
      <c r="E29" s="10" t="s">
        <v>105</v>
      </c>
      <c r="F29" s="9" t="s">
        <v>36</v>
      </c>
      <c r="G29" s="11" t="s">
        <v>37</v>
      </c>
      <c r="H29" s="10" t="s">
        <v>105</v>
      </c>
      <c r="I29" s="12" t="s">
        <v>36</v>
      </c>
      <c r="J29" s="10"/>
    </row>
    <row r="30" customFormat="false" ht="35.05" hidden="false" customHeight="false" outlineLevel="0" collapsed="false">
      <c r="A30" s="9" t="n">
        <v>28</v>
      </c>
      <c r="B30" s="10" t="s">
        <v>106</v>
      </c>
      <c r="C30" s="10" t="s">
        <v>107</v>
      </c>
      <c r="D30" s="9" t="s">
        <v>34</v>
      </c>
      <c r="E30" s="10" t="s">
        <v>108</v>
      </c>
      <c r="F30" s="9" t="s">
        <v>36</v>
      </c>
      <c r="G30" s="11" t="s">
        <v>37</v>
      </c>
      <c r="H30" s="10" t="s">
        <v>108</v>
      </c>
      <c r="I30" s="12" t="s">
        <v>36</v>
      </c>
      <c r="J30" s="10"/>
    </row>
    <row r="31" customFormat="false" ht="35.05" hidden="false" customHeight="false" outlineLevel="0" collapsed="false">
      <c r="A31" s="9" t="n">
        <v>29</v>
      </c>
      <c r="B31" s="10" t="s">
        <v>109</v>
      </c>
      <c r="C31" s="10" t="s">
        <v>110</v>
      </c>
      <c r="D31" s="9" t="s">
        <v>34</v>
      </c>
      <c r="E31" s="10" t="s">
        <v>111</v>
      </c>
      <c r="F31" s="9" t="s">
        <v>36</v>
      </c>
      <c r="G31" s="11" t="s">
        <v>37</v>
      </c>
      <c r="H31" s="10" t="s">
        <v>111</v>
      </c>
      <c r="I31" s="12" t="s">
        <v>36</v>
      </c>
      <c r="J31" s="10"/>
    </row>
    <row r="32" customFormat="false" ht="23.85" hidden="false" customHeight="false" outlineLevel="0" collapsed="false">
      <c r="A32" s="9" t="n">
        <v>30</v>
      </c>
      <c r="B32" s="10" t="s">
        <v>112</v>
      </c>
      <c r="C32" s="10" t="s">
        <v>113</v>
      </c>
      <c r="D32" s="9" t="s">
        <v>36</v>
      </c>
      <c r="E32" s="10" t="s">
        <v>114</v>
      </c>
      <c r="F32" s="9" t="s">
        <v>36</v>
      </c>
      <c r="G32" s="9" t="s">
        <v>45</v>
      </c>
      <c r="H32" s="10" t="s">
        <v>114</v>
      </c>
      <c r="I32" s="12" t="s">
        <v>36</v>
      </c>
      <c r="J32" s="10"/>
    </row>
    <row r="33" customFormat="false" ht="23.85" hidden="false" customHeight="false" outlineLevel="0" collapsed="false">
      <c r="A33" s="9" t="n">
        <v>31</v>
      </c>
      <c r="B33" s="10" t="s">
        <v>115</v>
      </c>
      <c r="C33" s="10" t="s">
        <v>33</v>
      </c>
      <c r="D33" s="9" t="s">
        <v>34</v>
      </c>
      <c r="E33" s="10" t="s">
        <v>116</v>
      </c>
      <c r="F33" s="9" t="s">
        <v>36</v>
      </c>
      <c r="G33" s="9" t="s">
        <v>45</v>
      </c>
      <c r="H33" s="10" t="s">
        <v>116</v>
      </c>
      <c r="I33" s="12" t="s">
        <v>36</v>
      </c>
      <c r="J33" s="10"/>
    </row>
    <row r="34" customFormat="false" ht="35.05" hidden="false" customHeight="false" outlineLevel="0" collapsed="false">
      <c r="A34" s="9" t="n">
        <v>32</v>
      </c>
      <c r="B34" s="10" t="s">
        <v>117</v>
      </c>
      <c r="C34" s="10" t="s">
        <v>118</v>
      </c>
      <c r="D34" s="9" t="s">
        <v>36</v>
      </c>
      <c r="E34" s="10" t="s">
        <v>119</v>
      </c>
      <c r="F34" s="9" t="s">
        <v>36</v>
      </c>
      <c r="G34" s="9" t="s">
        <v>45</v>
      </c>
      <c r="H34" s="10" t="s">
        <v>119</v>
      </c>
      <c r="I34" s="12" t="s">
        <v>36</v>
      </c>
      <c r="J34" s="10"/>
    </row>
    <row r="35" customFormat="false" ht="35.05" hidden="false" customHeight="false" outlineLevel="0" collapsed="false">
      <c r="A35" s="9" t="n">
        <v>33</v>
      </c>
      <c r="B35" s="10" t="s">
        <v>120</v>
      </c>
      <c r="C35" s="10" t="s">
        <v>121</v>
      </c>
      <c r="D35" s="9" t="s">
        <v>36</v>
      </c>
      <c r="E35" s="10" t="s">
        <v>122</v>
      </c>
      <c r="F35" s="9" t="s">
        <v>36</v>
      </c>
      <c r="G35" s="9" t="s">
        <v>45</v>
      </c>
      <c r="H35" s="10" t="s">
        <v>122</v>
      </c>
      <c r="I35" s="12" t="s">
        <v>36</v>
      </c>
      <c r="J35" s="10"/>
    </row>
    <row r="36" customFormat="false" ht="23.85" hidden="false" customHeight="false" outlineLevel="0" collapsed="false">
      <c r="A36" s="9" t="n">
        <v>34</v>
      </c>
      <c r="B36" s="10" t="s">
        <v>123</v>
      </c>
      <c r="C36" s="10" t="s">
        <v>33</v>
      </c>
      <c r="D36" s="9" t="s">
        <v>34</v>
      </c>
      <c r="E36" s="10" t="s">
        <v>124</v>
      </c>
      <c r="F36" s="9" t="s">
        <v>36</v>
      </c>
      <c r="G36" s="11" t="s">
        <v>37</v>
      </c>
      <c r="H36" s="10" t="s">
        <v>124</v>
      </c>
      <c r="I36" s="12" t="s">
        <v>36</v>
      </c>
      <c r="J36" s="10"/>
    </row>
    <row r="37" customFormat="false" ht="57.45" hidden="false" customHeight="false" outlineLevel="0" collapsed="false">
      <c r="A37" s="9" t="n">
        <v>35</v>
      </c>
      <c r="B37" s="10" t="s">
        <v>125</v>
      </c>
      <c r="C37" s="10" t="s">
        <v>33</v>
      </c>
      <c r="D37" s="9" t="s">
        <v>34</v>
      </c>
      <c r="E37" s="10" t="s">
        <v>126</v>
      </c>
      <c r="F37" s="9" t="s">
        <v>36</v>
      </c>
      <c r="G37" s="11" t="s">
        <v>37</v>
      </c>
      <c r="H37" s="10" t="s">
        <v>126</v>
      </c>
      <c r="I37" s="12" t="s">
        <v>36</v>
      </c>
      <c r="J37" s="10"/>
    </row>
    <row r="38" customFormat="false" ht="46.25" hidden="false" customHeight="false" outlineLevel="0" collapsed="false">
      <c r="A38" s="9" t="n">
        <v>36</v>
      </c>
      <c r="B38" s="10" t="s">
        <v>127</v>
      </c>
      <c r="C38" s="10" t="s">
        <v>128</v>
      </c>
      <c r="D38" s="9" t="s">
        <v>34</v>
      </c>
      <c r="E38" s="10" t="s">
        <v>129</v>
      </c>
      <c r="F38" s="9" t="s">
        <v>36</v>
      </c>
      <c r="G38" s="11" t="s">
        <v>37</v>
      </c>
      <c r="H38" s="10" t="s">
        <v>129</v>
      </c>
      <c r="I38" s="12" t="s">
        <v>36</v>
      </c>
      <c r="J38" s="10"/>
    </row>
    <row r="39" customFormat="false" ht="35.05" hidden="false" customHeight="false" outlineLevel="0" collapsed="false">
      <c r="A39" s="9" t="n">
        <v>37</v>
      </c>
      <c r="B39" s="10" t="s">
        <v>130</v>
      </c>
      <c r="C39" s="10" t="s">
        <v>131</v>
      </c>
      <c r="D39" s="9" t="s">
        <v>36</v>
      </c>
      <c r="E39" s="10" t="s">
        <v>132</v>
      </c>
      <c r="F39" s="9" t="s">
        <v>36</v>
      </c>
      <c r="G39" s="9" t="s">
        <v>45</v>
      </c>
      <c r="H39" s="10" t="s">
        <v>132</v>
      </c>
      <c r="I39" s="12" t="s">
        <v>36</v>
      </c>
      <c r="J39" s="10"/>
    </row>
    <row r="40" customFormat="false" ht="35.05" hidden="false" customHeight="false" outlineLevel="0" collapsed="false">
      <c r="A40" s="9" t="n">
        <v>38</v>
      </c>
      <c r="B40" s="10" t="s">
        <v>133</v>
      </c>
      <c r="C40" s="10" t="s">
        <v>134</v>
      </c>
      <c r="D40" s="9" t="s">
        <v>36</v>
      </c>
      <c r="E40" s="10" t="s">
        <v>135</v>
      </c>
      <c r="F40" s="9" t="s">
        <v>36</v>
      </c>
      <c r="G40" s="9" t="s">
        <v>45</v>
      </c>
      <c r="H40" s="10" t="s">
        <v>135</v>
      </c>
      <c r="I40" s="12" t="s">
        <v>36</v>
      </c>
      <c r="J40" s="10"/>
    </row>
    <row r="41" customFormat="false" ht="35.05" hidden="false" customHeight="false" outlineLevel="0" collapsed="false">
      <c r="A41" s="9" t="n">
        <v>39</v>
      </c>
      <c r="B41" s="10" t="s">
        <v>136</v>
      </c>
      <c r="C41" s="10" t="s">
        <v>33</v>
      </c>
      <c r="D41" s="9" t="s">
        <v>34</v>
      </c>
      <c r="E41" s="10" t="s">
        <v>137</v>
      </c>
      <c r="F41" s="9" t="s">
        <v>36</v>
      </c>
      <c r="G41" s="11" t="s">
        <v>37</v>
      </c>
      <c r="H41" s="10" t="s">
        <v>137</v>
      </c>
      <c r="I41" s="12" t="s">
        <v>36</v>
      </c>
      <c r="J41" s="10"/>
    </row>
    <row r="42" customFormat="false" ht="23.85" hidden="false" customHeight="false" outlineLevel="0" collapsed="false">
      <c r="A42" s="9" t="n">
        <v>40</v>
      </c>
      <c r="B42" s="10" t="s">
        <v>138</v>
      </c>
      <c r="C42" s="10" t="s">
        <v>118</v>
      </c>
      <c r="D42" s="9" t="s">
        <v>36</v>
      </c>
      <c r="E42" s="10" t="s">
        <v>139</v>
      </c>
      <c r="F42" s="9" t="s">
        <v>36</v>
      </c>
      <c r="G42" s="11" t="s">
        <v>37</v>
      </c>
      <c r="H42" s="10" t="s">
        <v>139</v>
      </c>
      <c r="I42" s="12" t="s">
        <v>36</v>
      </c>
      <c r="J42" s="10"/>
    </row>
    <row r="43" customFormat="false" ht="23.85" hidden="false" customHeight="false" outlineLevel="0" collapsed="false">
      <c r="A43" s="9" t="n">
        <v>41</v>
      </c>
      <c r="B43" s="10" t="s">
        <v>140</v>
      </c>
      <c r="C43" s="10" t="s">
        <v>141</v>
      </c>
      <c r="D43" s="9" t="s">
        <v>36</v>
      </c>
      <c r="E43" s="10" t="s">
        <v>142</v>
      </c>
      <c r="F43" s="9" t="s">
        <v>36</v>
      </c>
      <c r="G43" s="11" t="s">
        <v>37</v>
      </c>
      <c r="H43" s="10" t="s">
        <v>142</v>
      </c>
      <c r="I43" s="12" t="s">
        <v>36</v>
      </c>
      <c r="J43" s="10"/>
    </row>
    <row r="44" customFormat="false" ht="35.05" hidden="false" customHeight="false" outlineLevel="0" collapsed="false">
      <c r="A44" s="9" t="n">
        <v>42</v>
      </c>
      <c r="B44" s="10" t="s">
        <v>143</v>
      </c>
      <c r="C44" s="10" t="s">
        <v>144</v>
      </c>
      <c r="D44" s="9" t="s">
        <v>34</v>
      </c>
      <c r="E44" s="10" t="s">
        <v>145</v>
      </c>
      <c r="F44" s="9" t="s">
        <v>36</v>
      </c>
      <c r="G44" s="11" t="s">
        <v>37</v>
      </c>
      <c r="H44" s="10" t="s">
        <v>145</v>
      </c>
      <c r="I44" s="12" t="s">
        <v>36</v>
      </c>
      <c r="J44" s="10"/>
    </row>
    <row r="45" customFormat="false" ht="23.85" hidden="false" customHeight="false" outlineLevel="0" collapsed="false">
      <c r="A45" s="9" t="n">
        <v>43</v>
      </c>
      <c r="B45" s="10" t="s">
        <v>146</v>
      </c>
      <c r="C45" s="10" t="s">
        <v>147</v>
      </c>
      <c r="D45" s="9" t="s">
        <v>36</v>
      </c>
      <c r="E45" s="10" t="s">
        <v>148</v>
      </c>
      <c r="F45" s="9" t="s">
        <v>36</v>
      </c>
      <c r="G45" s="9" t="s">
        <v>45</v>
      </c>
      <c r="H45" s="10" t="s">
        <v>148</v>
      </c>
      <c r="I45" s="12" t="s">
        <v>36</v>
      </c>
      <c r="J45" s="10"/>
    </row>
    <row r="46" customFormat="false" ht="35.05" hidden="false" customHeight="false" outlineLevel="0" collapsed="false">
      <c r="A46" s="9" t="n">
        <v>44</v>
      </c>
      <c r="B46" s="10" t="s">
        <v>149</v>
      </c>
      <c r="C46" s="10" t="s">
        <v>150</v>
      </c>
      <c r="D46" s="9" t="s">
        <v>36</v>
      </c>
      <c r="E46" s="10" t="s">
        <v>151</v>
      </c>
      <c r="F46" s="9" t="s">
        <v>36</v>
      </c>
      <c r="G46" s="11" t="s">
        <v>37</v>
      </c>
      <c r="H46" s="10" t="s">
        <v>151</v>
      </c>
      <c r="I46" s="12" t="s">
        <v>36</v>
      </c>
      <c r="J46" s="10"/>
    </row>
    <row r="47" customFormat="false" ht="23.85" hidden="false" customHeight="false" outlineLevel="0" collapsed="false">
      <c r="A47" s="9" t="n">
        <v>45</v>
      </c>
      <c r="B47" s="10" t="s">
        <v>152</v>
      </c>
      <c r="C47" s="10" t="s">
        <v>153</v>
      </c>
      <c r="D47" s="9" t="s">
        <v>36</v>
      </c>
      <c r="E47" s="10" t="s">
        <v>154</v>
      </c>
      <c r="F47" s="9" t="s">
        <v>36</v>
      </c>
      <c r="G47" s="9" t="s">
        <v>45</v>
      </c>
      <c r="H47" s="10" t="s">
        <v>154</v>
      </c>
      <c r="I47" s="12" t="s">
        <v>36</v>
      </c>
      <c r="J47" s="10"/>
    </row>
    <row r="48" customFormat="false" ht="35.05" hidden="false" customHeight="false" outlineLevel="0" collapsed="false">
      <c r="A48" s="9" t="n">
        <v>46</v>
      </c>
      <c r="B48" s="10" t="s">
        <v>155</v>
      </c>
      <c r="C48" s="10" t="s">
        <v>33</v>
      </c>
      <c r="D48" s="9" t="s">
        <v>34</v>
      </c>
      <c r="E48" s="10" t="s">
        <v>156</v>
      </c>
      <c r="F48" s="9" t="s">
        <v>36</v>
      </c>
      <c r="G48" s="11" t="s">
        <v>37</v>
      </c>
      <c r="H48" s="10" t="s">
        <v>156</v>
      </c>
      <c r="I48" s="12" t="s">
        <v>36</v>
      </c>
      <c r="J48" s="10"/>
    </row>
    <row r="49" customFormat="false" ht="79.85" hidden="false" customHeight="false" outlineLevel="0" collapsed="false">
      <c r="A49" s="9" t="n">
        <v>47</v>
      </c>
      <c r="B49" s="10" t="s">
        <v>157</v>
      </c>
      <c r="C49" s="10" t="s">
        <v>158</v>
      </c>
      <c r="D49" s="9" t="s">
        <v>36</v>
      </c>
      <c r="E49" s="10" t="s">
        <v>159</v>
      </c>
      <c r="F49" s="9" t="s">
        <v>36</v>
      </c>
      <c r="G49" s="9" t="s">
        <v>45</v>
      </c>
      <c r="H49" s="10" t="s">
        <v>159</v>
      </c>
      <c r="I49" s="12" t="s">
        <v>36</v>
      </c>
      <c r="J49" s="10"/>
    </row>
    <row r="50" customFormat="false" ht="23.85" hidden="false" customHeight="false" outlineLevel="0" collapsed="false">
      <c r="A50" s="9" t="n">
        <v>48</v>
      </c>
      <c r="B50" s="10" t="s">
        <v>160</v>
      </c>
      <c r="C50" s="10" t="s">
        <v>161</v>
      </c>
      <c r="D50" s="9" t="s">
        <v>36</v>
      </c>
      <c r="E50" s="10" t="s">
        <v>162</v>
      </c>
      <c r="F50" s="9" t="s">
        <v>36</v>
      </c>
      <c r="G50" s="11" t="s">
        <v>37</v>
      </c>
      <c r="H50" s="10" t="s">
        <v>162</v>
      </c>
      <c r="I50" s="12" t="s">
        <v>36</v>
      </c>
      <c r="J50" s="10"/>
    </row>
    <row r="51" customFormat="false" ht="23.85" hidden="false" customHeight="false" outlineLevel="0" collapsed="false">
      <c r="A51" s="9" t="n">
        <v>49</v>
      </c>
      <c r="B51" s="10" t="s">
        <v>163</v>
      </c>
      <c r="C51" s="10" t="s">
        <v>164</v>
      </c>
      <c r="D51" s="9" t="s">
        <v>36</v>
      </c>
      <c r="E51" s="10" t="s">
        <v>165</v>
      </c>
      <c r="F51" s="9" t="s">
        <v>36</v>
      </c>
      <c r="G51" s="9" t="s">
        <v>45</v>
      </c>
      <c r="H51" s="10" t="s">
        <v>165</v>
      </c>
      <c r="I51" s="12" t="s">
        <v>36</v>
      </c>
      <c r="J51" s="10"/>
    </row>
    <row r="52" customFormat="false" ht="35.05" hidden="false" customHeight="false" outlineLevel="0" collapsed="false">
      <c r="A52" s="9" t="n">
        <v>50</v>
      </c>
      <c r="B52" s="10" t="s">
        <v>166</v>
      </c>
      <c r="C52" s="10" t="s">
        <v>167</v>
      </c>
      <c r="D52" s="9" t="s">
        <v>36</v>
      </c>
      <c r="E52" s="10" t="s">
        <v>168</v>
      </c>
      <c r="F52" s="9" t="s">
        <v>36</v>
      </c>
      <c r="G52" s="11" t="s">
        <v>37</v>
      </c>
      <c r="H52" s="10" t="s">
        <v>168</v>
      </c>
      <c r="I52" s="12" t="s">
        <v>36</v>
      </c>
      <c r="J52" s="10"/>
    </row>
    <row r="53" customFormat="false" ht="23.85" hidden="false" customHeight="false" outlineLevel="0" collapsed="false">
      <c r="A53" s="9" t="n">
        <v>51</v>
      </c>
      <c r="B53" s="10" t="s">
        <v>169</v>
      </c>
      <c r="C53" s="10" t="s">
        <v>170</v>
      </c>
      <c r="D53" s="9" t="s">
        <v>36</v>
      </c>
      <c r="E53" s="10" t="s">
        <v>171</v>
      </c>
      <c r="F53" s="9" t="s">
        <v>36</v>
      </c>
      <c r="G53" s="9" t="s">
        <v>45</v>
      </c>
      <c r="H53" s="10" t="s">
        <v>171</v>
      </c>
      <c r="I53" s="12" t="s">
        <v>36</v>
      </c>
      <c r="J53" s="10"/>
    </row>
    <row r="54" customFormat="false" ht="23.85" hidden="false" customHeight="false" outlineLevel="0" collapsed="false">
      <c r="A54" s="9" t="n">
        <v>52</v>
      </c>
      <c r="B54" s="10" t="s">
        <v>172</v>
      </c>
      <c r="C54" s="10" t="s">
        <v>173</v>
      </c>
      <c r="D54" s="9" t="s">
        <v>34</v>
      </c>
      <c r="E54" s="10" t="s">
        <v>174</v>
      </c>
      <c r="F54" s="9" t="s">
        <v>36</v>
      </c>
      <c r="G54" s="11" t="s">
        <v>37</v>
      </c>
      <c r="H54" s="10" t="s">
        <v>174</v>
      </c>
      <c r="I54" s="12" t="s">
        <v>36</v>
      </c>
      <c r="J54" s="10"/>
    </row>
    <row r="55" customFormat="false" ht="35.05" hidden="false" customHeight="false" outlineLevel="0" collapsed="false">
      <c r="A55" s="9" t="n">
        <v>53</v>
      </c>
      <c r="B55" s="10" t="s">
        <v>175</v>
      </c>
      <c r="C55" s="10" t="s">
        <v>176</v>
      </c>
      <c r="D55" s="9" t="s">
        <v>36</v>
      </c>
      <c r="E55" s="10" t="s">
        <v>177</v>
      </c>
      <c r="F55" s="9" t="s">
        <v>36</v>
      </c>
      <c r="G55" s="9" t="s">
        <v>45</v>
      </c>
      <c r="H55" s="10" t="s">
        <v>177</v>
      </c>
      <c r="I55" s="12" t="s">
        <v>36</v>
      </c>
      <c r="J55" s="10"/>
    </row>
    <row r="56" customFormat="false" ht="35.05" hidden="false" customHeight="false" outlineLevel="0" collapsed="false">
      <c r="A56" s="9" t="n">
        <v>54</v>
      </c>
      <c r="B56" s="10" t="s">
        <v>178</v>
      </c>
      <c r="C56" s="10" t="s">
        <v>118</v>
      </c>
      <c r="D56" s="9" t="s">
        <v>36</v>
      </c>
      <c r="E56" s="10" t="s">
        <v>179</v>
      </c>
      <c r="F56" s="9" t="s">
        <v>36</v>
      </c>
      <c r="G56" s="9" t="s">
        <v>45</v>
      </c>
      <c r="H56" s="10" t="s">
        <v>179</v>
      </c>
      <c r="I56" s="12" t="s">
        <v>36</v>
      </c>
      <c r="J56" s="10"/>
    </row>
    <row r="57" customFormat="false" ht="23.85" hidden="false" customHeight="false" outlineLevel="0" collapsed="false">
      <c r="A57" s="9" t="n">
        <v>55</v>
      </c>
      <c r="B57" s="10" t="s">
        <v>180</v>
      </c>
      <c r="C57" s="10" t="s">
        <v>181</v>
      </c>
      <c r="D57" s="9" t="s">
        <v>36</v>
      </c>
      <c r="E57" s="10" t="s">
        <v>33</v>
      </c>
      <c r="F57" s="9" t="s">
        <v>34</v>
      </c>
      <c r="G57" s="11" t="s">
        <v>37</v>
      </c>
      <c r="H57" s="10" t="s">
        <v>181</v>
      </c>
      <c r="I57" s="13" t="s">
        <v>34</v>
      </c>
      <c r="J57" s="10"/>
    </row>
    <row r="58" customFormat="false" ht="23.85" hidden="false" customHeight="false" outlineLevel="0" collapsed="false">
      <c r="A58" s="9" t="n">
        <v>56</v>
      </c>
      <c r="B58" s="10" t="s">
        <v>182</v>
      </c>
      <c r="C58" s="10" t="s">
        <v>183</v>
      </c>
      <c r="D58" s="9" t="s">
        <v>36</v>
      </c>
      <c r="E58" s="10" t="s">
        <v>184</v>
      </c>
      <c r="F58" s="9" t="s">
        <v>36</v>
      </c>
      <c r="G58" s="11" t="s">
        <v>37</v>
      </c>
      <c r="H58" s="10" t="s">
        <v>184</v>
      </c>
      <c r="I58" s="12" t="s">
        <v>36</v>
      </c>
      <c r="J58" s="10"/>
    </row>
    <row r="59" customFormat="false" ht="35.05" hidden="false" customHeight="false" outlineLevel="0" collapsed="false">
      <c r="A59" s="9" t="n">
        <v>57</v>
      </c>
      <c r="B59" s="10" t="s">
        <v>185</v>
      </c>
      <c r="C59" s="10" t="s">
        <v>186</v>
      </c>
      <c r="D59" s="9" t="s">
        <v>34</v>
      </c>
      <c r="E59" s="10" t="s">
        <v>187</v>
      </c>
      <c r="F59" s="9" t="s">
        <v>36</v>
      </c>
      <c r="G59" s="11" t="s">
        <v>37</v>
      </c>
      <c r="H59" s="10" t="s">
        <v>187</v>
      </c>
      <c r="I59" s="12" t="s">
        <v>36</v>
      </c>
      <c r="J59" s="10"/>
    </row>
    <row r="60" customFormat="false" ht="23.85" hidden="false" customHeight="false" outlineLevel="0" collapsed="false">
      <c r="A60" s="9" t="n">
        <v>58</v>
      </c>
      <c r="B60" s="10" t="s">
        <v>188</v>
      </c>
      <c r="C60" s="10" t="s">
        <v>189</v>
      </c>
      <c r="D60" s="9" t="s">
        <v>34</v>
      </c>
      <c r="E60" s="10" t="s">
        <v>190</v>
      </c>
      <c r="F60" s="9" t="s">
        <v>36</v>
      </c>
      <c r="G60" s="11" t="s">
        <v>37</v>
      </c>
      <c r="H60" s="10" t="s">
        <v>190</v>
      </c>
      <c r="I60" s="12" t="s">
        <v>36</v>
      </c>
      <c r="J60" s="10"/>
    </row>
    <row r="61" customFormat="false" ht="23.85" hidden="false" customHeight="false" outlineLevel="0" collapsed="false">
      <c r="A61" s="9" t="n">
        <v>59</v>
      </c>
      <c r="B61" s="10" t="s">
        <v>191</v>
      </c>
      <c r="C61" s="10" t="s">
        <v>192</v>
      </c>
      <c r="D61" s="9" t="s">
        <v>36</v>
      </c>
      <c r="E61" s="10" t="s">
        <v>193</v>
      </c>
      <c r="F61" s="9" t="s">
        <v>36</v>
      </c>
      <c r="G61" s="9" t="s">
        <v>45</v>
      </c>
      <c r="H61" s="10" t="s">
        <v>193</v>
      </c>
      <c r="I61" s="12" t="s">
        <v>36</v>
      </c>
      <c r="J61" s="10"/>
    </row>
    <row r="62" customFormat="false" ht="35.05" hidden="false" customHeight="false" outlineLevel="0" collapsed="false">
      <c r="A62" s="9" t="n">
        <v>60</v>
      </c>
      <c r="B62" s="10" t="s">
        <v>194</v>
      </c>
      <c r="C62" s="10" t="s">
        <v>195</v>
      </c>
      <c r="D62" s="9" t="s">
        <v>36</v>
      </c>
      <c r="E62" s="10" t="s">
        <v>196</v>
      </c>
      <c r="F62" s="9" t="s">
        <v>36</v>
      </c>
      <c r="G62" s="9" t="s">
        <v>45</v>
      </c>
      <c r="H62" s="10" t="s">
        <v>196</v>
      </c>
      <c r="I62" s="12" t="s">
        <v>36</v>
      </c>
      <c r="J62" s="10"/>
    </row>
    <row r="63" customFormat="false" ht="46.25" hidden="false" customHeight="false" outlineLevel="0" collapsed="false">
      <c r="A63" s="9" t="n">
        <v>61</v>
      </c>
      <c r="B63" s="10" t="s">
        <v>197</v>
      </c>
      <c r="C63" s="10" t="s">
        <v>198</v>
      </c>
      <c r="D63" s="9" t="s">
        <v>36</v>
      </c>
      <c r="E63" s="10" t="s">
        <v>199</v>
      </c>
      <c r="F63" s="9" t="s">
        <v>36</v>
      </c>
      <c r="G63" s="9" t="s">
        <v>45</v>
      </c>
      <c r="H63" s="10" t="s">
        <v>199</v>
      </c>
      <c r="I63" s="12" t="s">
        <v>36</v>
      </c>
      <c r="J63" s="10"/>
    </row>
    <row r="64" customFormat="false" ht="23.85" hidden="false" customHeight="false" outlineLevel="0" collapsed="false">
      <c r="A64" s="9" t="n">
        <v>62</v>
      </c>
      <c r="B64" s="10" t="s">
        <v>200</v>
      </c>
      <c r="C64" s="10" t="s">
        <v>201</v>
      </c>
      <c r="D64" s="9" t="s">
        <v>36</v>
      </c>
      <c r="E64" s="10" t="s">
        <v>202</v>
      </c>
      <c r="F64" s="9" t="s">
        <v>36</v>
      </c>
      <c r="G64" s="11" t="s">
        <v>37</v>
      </c>
      <c r="H64" s="10" t="s">
        <v>202</v>
      </c>
      <c r="I64" s="12" t="s">
        <v>36</v>
      </c>
      <c r="J64" s="10"/>
    </row>
  </sheetData>
  <mergeCells count="3">
    <mergeCell ref="C1:D1"/>
    <mergeCell ref="E1:G1"/>
    <mergeCell ref="H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s>
  <sheetData>
    <row r="1" customFormat="false" ht="15" hidden="false" customHeight="false" outlineLevel="0" collapsed="false">
      <c r="A1" s="14" t="s">
        <v>203</v>
      </c>
    </row>
    <row r="3" customFormat="false" ht="15" hidden="false" customHeight="false" outlineLevel="0" collapsed="false">
      <c r="A3" s="8" t="s">
        <v>204</v>
      </c>
      <c r="B3" s="8" t="s">
        <v>205</v>
      </c>
    </row>
    <row r="4" customFormat="false" ht="15" hidden="false" customHeight="false" outlineLevel="0" collapsed="false">
      <c r="A4" s="15" t="s">
        <v>206</v>
      </c>
      <c r="B4" s="15" t="n">
        <f aca="false">COUNTIFS(Reconciliation!$D$3:$D$64,"Coded",Reconciliation!$F$3:$F$64,"Coded")</f>
        <v>37</v>
      </c>
    </row>
    <row r="5" customFormat="false" ht="15" hidden="false" customHeight="false" outlineLevel="0" collapsed="false">
      <c r="A5" s="15" t="s">
        <v>207</v>
      </c>
      <c r="B5" s="15" t="n">
        <f aca="false">COUNTIFS(Reconciliation!$D$3:$D$64,"Coded",Reconciliation!$F$3:$F$64,"Indeterminate")</f>
        <v>1</v>
      </c>
    </row>
    <row r="6" customFormat="false" ht="15" hidden="false" customHeight="false" outlineLevel="0" collapsed="false">
      <c r="A6" s="15" t="s">
        <v>208</v>
      </c>
      <c r="B6" s="15" t="n">
        <f aca="false">COUNTIFS(Reconciliation!$D$3:$D$64,"Indeterminate",Reconciliation!$F$3:$F$64,"Coded")</f>
        <v>24</v>
      </c>
    </row>
    <row r="7" customFormat="false" ht="15" hidden="false" customHeight="false" outlineLevel="0" collapsed="false">
      <c r="A7" s="15" t="s">
        <v>209</v>
      </c>
      <c r="B7" s="15" t="n">
        <f aca="false">COUNTIFS(Reconciliation!$D$3:$D$64,"Indeterminate",Reconciliation!$F$3:$F$64,"Indeterminate")</f>
        <v>0</v>
      </c>
    </row>
    <row r="8" customFormat="false" ht="15" hidden="false" customHeight="false" outlineLevel="0" collapsed="false">
      <c r="A8" s="16" t="s">
        <v>210</v>
      </c>
      <c r="B8" s="16" t="n">
        <f aca="false">SUM(B4:B7)</f>
        <v>62</v>
      </c>
    </row>
    <row r="10" customFormat="false" ht="15" hidden="false" customHeight="false" outlineLevel="0" collapsed="false">
      <c r="A10" s="15" t="s">
        <v>211</v>
      </c>
      <c r="B10" s="15" t="n">
        <f aca="false">IFERROR((B4+B7)/B8,"-")</f>
        <v>0.596774193548387</v>
      </c>
    </row>
    <row r="11" customFormat="false" ht="15" hidden="false" customHeight="false" outlineLevel="0" collapsed="false">
      <c r="A11" s="15" t="s">
        <v>212</v>
      </c>
      <c r="B11" s="15" t="n">
        <f aca="false">IFERROR((((B4+B5)*(B4+B6))+((B6+B7)*(B5+B7)))/(B8^2),"-")</f>
        <v>0.609261186264308</v>
      </c>
    </row>
    <row r="12" customFormat="false" ht="15" hidden="false" customHeight="false" outlineLevel="0" collapsed="false">
      <c r="A12" s="17" t="s">
        <v>213</v>
      </c>
      <c r="B12" s="17" t="n">
        <f aca="false">IFERROR((B10-B11)/(1-B11),"-")</f>
        <v>-0.0319573901464714</v>
      </c>
    </row>
    <row r="14" customFormat="false" ht="15" hidden="false" customHeight="false" outlineLevel="0" collapsed="false">
      <c r="A14" s="15" t="s">
        <v>214</v>
      </c>
      <c r="B14" s="15" t="n">
        <f aca="false">COUNTIF(Reconciliation!$G$3:$G$64,"Agree")</f>
        <v>25</v>
      </c>
    </row>
    <row r="15" customFormat="false" ht="15" hidden="false" customHeight="false" outlineLevel="0" collapsed="false">
      <c r="A15" s="15" t="s">
        <v>215</v>
      </c>
      <c r="B15" s="15" t="n">
        <f aca="false">COUNTIF(Reconciliation!$G$3:$G$64,"Disagree")</f>
        <v>37</v>
      </c>
    </row>
    <row r="16" customFormat="false" ht="15" hidden="false" customHeight="false" outlineLevel="0" collapsed="false">
      <c r="A16" s="15" t="s">
        <v>216</v>
      </c>
      <c r="B16" s="15" t="n">
        <f aca="false">COUNTIF(Reconciliation!$I$3:$I$64,"Coded")</f>
        <v>61</v>
      </c>
    </row>
    <row r="17" customFormat="false" ht="15" hidden="false" customHeight="false" outlineLevel="0" collapsed="false">
      <c r="A17" s="15" t="s">
        <v>217</v>
      </c>
      <c r="B17" s="15" t="n">
        <f aca="false">COUNTIF(Reconciliation!$I$3:$I$64,"Indeterminate")</f>
        <v>1</v>
      </c>
    </row>
    <row r="19" customFormat="false" ht="15" hidden="false" customHeight="false" outlineLevel="0" collapsed="false">
      <c r="A19" s="18" t="s">
        <v>218</v>
      </c>
    </row>
    <row r="20" customFormat="false" ht="15" hidden="false" customHeight="false" outlineLevel="0" collapsed="false">
      <c r="A20" s="18"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12"/>
  </cols>
  <sheetData>
    <row r="1" customFormat="false" ht="15" hidden="false" customHeight="false" outlineLevel="0" collapsed="false">
      <c r="A1" s="19" t="s">
        <v>220</v>
      </c>
    </row>
    <row r="3" customFormat="false" ht="15" hidden="false" customHeight="false" outlineLevel="0" collapsed="false">
      <c r="A3" s="8" t="s">
        <v>221</v>
      </c>
      <c r="B3" s="8" t="s">
        <v>222</v>
      </c>
      <c r="C3" s="8" t="s">
        <v>223</v>
      </c>
    </row>
    <row r="4" customFormat="false" ht="15" hidden="false" customHeight="false" outlineLevel="0" collapsed="false">
      <c r="A4" s="16" t="s">
        <v>224</v>
      </c>
      <c r="B4" s="20" t="n">
        <v>28</v>
      </c>
      <c r="C4" s="21" t="n">
        <f aca="false">28/62</f>
        <v>0.451612903225806</v>
      </c>
    </row>
    <row r="5" customFormat="false" ht="15" hidden="false" customHeight="false" outlineLevel="0" collapsed="false">
      <c r="A5" s="15" t="s">
        <v>225</v>
      </c>
      <c r="B5" s="9" t="n">
        <v>12</v>
      </c>
      <c r="C5" s="21" t="n">
        <f aca="false">12/62</f>
        <v>0.193548387096774</v>
      </c>
    </row>
    <row r="6" customFormat="false" ht="15" hidden="false" customHeight="false" outlineLevel="0" collapsed="false">
      <c r="A6" s="15" t="s">
        <v>226</v>
      </c>
      <c r="B6" s="9" t="n">
        <v>7</v>
      </c>
      <c r="C6" s="21" t="n">
        <f aca="false">7/62</f>
        <v>0.112903225806452</v>
      </c>
    </row>
    <row r="7" customFormat="false" ht="15" hidden="false" customHeight="false" outlineLevel="0" collapsed="false">
      <c r="A7" s="15" t="s">
        <v>227</v>
      </c>
      <c r="B7" s="9" t="n">
        <v>2</v>
      </c>
      <c r="C7" s="21" t="n">
        <f aca="false">2/62</f>
        <v>0.032258064516129</v>
      </c>
    </row>
    <row r="8" customFormat="false" ht="15" hidden="false" customHeight="false" outlineLevel="0" collapsed="false">
      <c r="A8" s="15" t="s">
        <v>228</v>
      </c>
      <c r="B8" s="9" t="n">
        <v>8</v>
      </c>
      <c r="C8" s="21" t="n">
        <f aca="false">8/62</f>
        <v>0.129032258064516</v>
      </c>
    </row>
    <row r="9" customFormat="false" ht="15" hidden="false" customHeight="false" outlineLevel="0" collapsed="false">
      <c r="A9" s="16" t="s">
        <v>229</v>
      </c>
      <c r="B9" s="20" t="n">
        <v>17</v>
      </c>
      <c r="C9" s="21" t="n">
        <f aca="false">17/62</f>
        <v>0.274193548387097</v>
      </c>
    </row>
    <row r="10" customFormat="false" ht="15" hidden="false" customHeight="false" outlineLevel="0" collapsed="false">
      <c r="A10" s="16" t="s">
        <v>230</v>
      </c>
      <c r="B10" s="20" t="n">
        <v>17</v>
      </c>
      <c r="C10" s="21" t="n">
        <f aca="false">17/62</f>
        <v>0.274193548387097</v>
      </c>
    </row>
    <row r="11" customFormat="false" ht="15" hidden="false" customHeight="false" outlineLevel="0" collapsed="false">
      <c r="A11" s="16" t="s">
        <v>231</v>
      </c>
      <c r="B11" s="20" t="n">
        <v>11</v>
      </c>
      <c r="C11" s="21" t="n">
        <f aca="false">11/62</f>
        <v>0.17741935483871</v>
      </c>
    </row>
    <row r="12" customFormat="false" ht="15" hidden="false" customHeight="false" outlineLevel="0" collapsed="false">
      <c r="A12" s="16" t="s">
        <v>232</v>
      </c>
      <c r="B12" s="20" t="n">
        <v>11</v>
      </c>
      <c r="C12" s="21" t="n">
        <f aca="false">11/62</f>
        <v>0.17741935483871</v>
      </c>
    </row>
    <row r="13" customFormat="false" ht="15" hidden="false" customHeight="false" outlineLevel="0" collapsed="false">
      <c r="A13" s="16" t="s">
        <v>233</v>
      </c>
      <c r="B13" s="20" t="n">
        <v>6</v>
      </c>
      <c r="C13" s="21" t="n">
        <f aca="false">6/62</f>
        <v>0.0967741935483871</v>
      </c>
    </row>
    <row r="14" customFormat="false" ht="15" hidden="false" customHeight="false" outlineLevel="0" collapsed="false">
      <c r="A14" s="16" t="s">
        <v>234</v>
      </c>
      <c r="B14" s="20" t="n">
        <v>5</v>
      </c>
      <c r="C14" s="21" t="n">
        <f aca="false">5/62</f>
        <v>0.0806451612903226</v>
      </c>
    </row>
    <row r="15" customFormat="false" ht="15" hidden="false" customHeight="false" outlineLevel="0" collapsed="false">
      <c r="A15" s="16" t="s">
        <v>235</v>
      </c>
      <c r="B15" s="20" t="n">
        <v>5</v>
      </c>
      <c r="C15" s="21" t="n">
        <f aca="false">5/62</f>
        <v>0.0806451612903226</v>
      </c>
    </row>
    <row r="16" customFormat="false" ht="15" hidden="false" customHeight="false" outlineLevel="0" collapsed="false">
      <c r="A16" s="16" t="s">
        <v>236</v>
      </c>
      <c r="B16" s="20" t="n">
        <v>4</v>
      </c>
      <c r="C16" s="21" t="n">
        <f aca="false">4/62</f>
        <v>0.0645161290322581</v>
      </c>
    </row>
    <row r="17" customFormat="false" ht="15" hidden="false" customHeight="false" outlineLevel="0" collapsed="false">
      <c r="A17" s="16" t="s">
        <v>237</v>
      </c>
      <c r="B17" s="20" t="n">
        <v>3</v>
      </c>
      <c r="C17" s="21" t="n">
        <f aca="false">3/62</f>
        <v>0.0483870967741936</v>
      </c>
    </row>
    <row r="18" customFormat="false" ht="15" hidden="false" customHeight="false" outlineLevel="0" collapsed="false">
      <c r="A18" s="16" t="s">
        <v>238</v>
      </c>
      <c r="B18" s="20" t="n">
        <v>3</v>
      </c>
      <c r="C18" s="21" t="n">
        <f aca="false">3/62</f>
        <v>0.0483870967741936</v>
      </c>
    </row>
    <row r="19" customFormat="false" ht="15" hidden="false" customHeight="false" outlineLevel="0" collapsed="false">
      <c r="A19" s="16" t="s">
        <v>239</v>
      </c>
      <c r="B19" s="20" t="n">
        <v>2</v>
      </c>
      <c r="C19" s="21" t="n">
        <f aca="false">2/62</f>
        <v>0.032258064516129</v>
      </c>
    </row>
    <row r="20" customFormat="false" ht="15" hidden="false" customHeight="false" outlineLevel="0" collapsed="false">
      <c r="A20" s="16" t="s">
        <v>240</v>
      </c>
      <c r="B20" s="20" t="n">
        <v>1</v>
      </c>
      <c r="C20" s="21" t="n">
        <f aca="false">1/62</f>
        <v>0.0161290322580645</v>
      </c>
    </row>
    <row r="21" customFormat="false" ht="15" hidden="false" customHeight="false" outlineLevel="0" collapsed="false">
      <c r="A21" s="16" t="s">
        <v>241</v>
      </c>
      <c r="B21" s="20" t="n">
        <v>1</v>
      </c>
      <c r="C21" s="21" t="n">
        <f aca="false">1/62</f>
        <v>0.0161290322580645</v>
      </c>
    </row>
    <row r="22" customFormat="false" ht="15" hidden="false" customHeight="false" outlineLevel="0" collapsed="false">
      <c r="A22" s="16" t="s">
        <v>242</v>
      </c>
      <c r="B22" s="20" t="n">
        <v>1</v>
      </c>
      <c r="C22" s="21" t="n">
        <f aca="false">1/62</f>
        <v>0.0161290322580645</v>
      </c>
    </row>
    <row r="23" customFormat="false" ht="15" hidden="false" customHeight="false" outlineLevel="0" collapsed="false">
      <c r="A23" s="16" t="s">
        <v>243</v>
      </c>
      <c r="B23" s="20" t="n">
        <v>1</v>
      </c>
      <c r="C23" s="21" t="n">
        <f aca="false">1/62</f>
        <v>0.0161290322580645</v>
      </c>
    </row>
    <row r="24" customFormat="false" ht="15" hidden="false" customHeight="false" outlineLevel="0" collapsed="false">
      <c r="A24" s="16" t="s">
        <v>181</v>
      </c>
      <c r="B24" s="20" t="n">
        <v>1</v>
      </c>
      <c r="C24" s="21" t="n">
        <f aca="false">1/62</f>
        <v>0.0161290322580645</v>
      </c>
    </row>
    <row r="26" customFormat="false" ht="15" hidden="false" customHeight="false" outlineLevel="0" collapsed="false">
      <c r="A26" s="18"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2026-06-05T11:36:13Z</dcterms:created>
  <dc:creator>openpyxl</dc:creator>
  <dc:description/>
  <dc:language>en-US</dc:language>
  <cp:lastModifiedBy/>
  <dcterms:modified xsi:type="dcterms:W3CDTF">2026-06-05T11:36:13Z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